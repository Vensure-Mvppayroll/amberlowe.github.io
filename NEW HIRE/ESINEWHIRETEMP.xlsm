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jugan\Desktop\"/>
    </mc:Choice>
  </mc:AlternateContent>
  <xr:revisionPtr revIDLastSave="0" documentId="8_{147A5C85-5221-468C-9805-35296D33B411}" xr6:coauthVersionLast="47" xr6:coauthVersionMax="47" xr10:uidLastSave="{00000000-0000-0000-0000-000000000000}"/>
  <bookViews>
    <workbookView xWindow="1060" yWindow="1060" windowWidth="15220" windowHeight="8840" xr2:uid="{F3A204FF-1E64-40A6-8737-B9EF81A20FF3}"/>
  </bookViews>
  <sheets>
    <sheet name="Raw File" sheetId="1" r:id="rId1"/>
    <sheet name="Upload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Y5" i="4" l="1"/>
  <c r="GY6" i="4"/>
  <c r="GY7" i="4"/>
  <c r="GY8" i="4"/>
  <c r="GY9" i="4"/>
  <c r="GY10" i="4"/>
  <c r="GY11" i="4"/>
  <c r="GY12" i="4"/>
  <c r="GY13" i="4"/>
  <c r="GY14" i="4"/>
  <c r="GY15" i="4"/>
  <c r="GY16" i="4"/>
  <c r="GY17" i="4"/>
  <c r="GY18" i="4"/>
  <c r="GY19" i="4"/>
  <c r="GY20" i="4"/>
  <c r="GY21" i="4"/>
  <c r="GY22" i="4"/>
  <c r="GY23" i="4"/>
  <c r="GY24" i="4"/>
  <c r="GY25" i="4"/>
  <c r="GY26" i="4"/>
  <c r="GY27" i="4"/>
  <c r="GY28" i="4"/>
  <c r="GY29" i="4"/>
  <c r="GY30" i="4"/>
  <c r="GY31" i="4"/>
  <c r="GY32" i="4"/>
  <c r="GY33" i="4"/>
  <c r="GY34" i="4"/>
  <c r="GY35" i="4"/>
  <c r="GY36" i="4"/>
  <c r="GY37" i="4"/>
  <c r="GY38" i="4"/>
  <c r="GY39" i="4"/>
  <c r="GY40" i="4"/>
  <c r="GY41" i="4"/>
  <c r="GY42" i="4"/>
  <c r="GY43" i="4"/>
  <c r="GY44" i="4"/>
  <c r="GY45" i="4"/>
  <c r="GY46" i="4"/>
  <c r="GY47" i="4"/>
  <c r="GY48" i="4"/>
  <c r="GY49" i="4"/>
  <c r="GY50" i="4"/>
  <c r="GY51" i="4"/>
  <c r="GY52" i="4"/>
  <c r="GY53" i="4"/>
  <c r="GY54" i="4"/>
  <c r="GY55" i="4"/>
  <c r="GY56" i="4"/>
  <c r="GY57" i="4"/>
  <c r="GY58" i="4"/>
  <c r="GY59" i="4"/>
  <c r="GY60" i="4"/>
  <c r="GY61" i="4"/>
  <c r="GY62" i="4"/>
  <c r="GY63" i="4"/>
  <c r="GY64" i="4"/>
  <c r="GY65" i="4"/>
  <c r="GY66" i="4"/>
  <c r="GY67" i="4"/>
  <c r="GY68" i="4"/>
  <c r="GY69" i="4"/>
  <c r="GY70" i="4"/>
  <c r="GY71" i="4"/>
  <c r="GY72" i="4"/>
  <c r="GY73" i="4"/>
  <c r="GY74" i="4"/>
  <c r="GY75" i="4"/>
  <c r="GY76" i="4"/>
  <c r="GY77" i="4"/>
  <c r="GY78" i="4"/>
  <c r="GY79" i="4"/>
  <c r="GY80" i="4"/>
  <c r="GY81" i="4"/>
  <c r="GY82" i="4"/>
  <c r="GY83" i="4"/>
  <c r="GY84" i="4"/>
  <c r="GY85" i="4"/>
  <c r="GY86" i="4"/>
  <c r="GY87" i="4"/>
  <c r="GY88" i="4"/>
  <c r="GY89" i="4"/>
  <c r="GY90" i="4"/>
  <c r="GY91" i="4"/>
  <c r="GY92" i="4"/>
  <c r="GY93" i="4"/>
  <c r="GY94" i="4"/>
  <c r="GY95" i="4"/>
  <c r="GY96" i="4"/>
  <c r="GY97" i="4"/>
  <c r="GY98" i="4"/>
  <c r="GY99" i="4"/>
  <c r="GY100" i="4"/>
  <c r="GY101" i="4"/>
  <c r="GY102" i="4"/>
  <c r="GY103" i="4"/>
  <c r="GY104" i="4"/>
  <c r="GY105" i="4"/>
  <c r="GY106" i="4"/>
  <c r="GY107" i="4"/>
  <c r="GY108" i="4"/>
  <c r="GY109" i="4"/>
  <c r="GY110" i="4"/>
  <c r="GY111" i="4"/>
  <c r="GY112" i="4"/>
  <c r="GY113" i="4"/>
  <c r="GY114" i="4"/>
  <c r="GY115" i="4"/>
  <c r="GY116" i="4"/>
  <c r="GY117" i="4"/>
  <c r="GY118" i="4"/>
  <c r="GY119" i="4"/>
  <c r="GY120" i="4"/>
  <c r="GY121" i="4"/>
  <c r="GY122" i="4"/>
  <c r="GY123" i="4"/>
  <c r="GY124" i="4"/>
  <c r="GY125" i="4"/>
  <c r="GY126" i="4"/>
  <c r="GY127" i="4"/>
  <c r="GY128" i="4"/>
  <c r="GY129" i="4"/>
  <c r="GY130" i="4"/>
  <c r="GY131" i="4"/>
  <c r="GY132" i="4"/>
  <c r="GY133" i="4"/>
  <c r="GY134" i="4"/>
  <c r="GY135" i="4"/>
  <c r="GY136" i="4"/>
  <c r="GY137" i="4"/>
  <c r="GY138" i="4"/>
  <c r="GY139" i="4"/>
  <c r="GY140" i="4"/>
  <c r="GY141" i="4"/>
  <c r="GY142" i="4"/>
  <c r="GY143" i="4"/>
  <c r="GY144" i="4"/>
  <c r="GY145" i="4"/>
  <c r="GY146" i="4"/>
  <c r="GY147" i="4"/>
  <c r="GY148" i="4"/>
  <c r="GY149" i="4"/>
  <c r="GY150" i="4"/>
  <c r="GY2" i="4"/>
  <c r="GY3" i="4"/>
  <c r="GY4" i="4"/>
  <c r="HQ3" i="4"/>
  <c r="HQ4" i="4"/>
  <c r="HQ5" i="4"/>
  <c r="HQ6" i="4"/>
  <c r="HQ7" i="4"/>
  <c r="HQ8" i="4"/>
  <c r="HQ9" i="4"/>
  <c r="HQ10" i="4"/>
  <c r="HQ11" i="4"/>
  <c r="HQ12" i="4"/>
  <c r="HQ13" i="4"/>
  <c r="HQ14" i="4"/>
  <c r="HQ15" i="4"/>
  <c r="HQ16" i="4"/>
  <c r="HQ17" i="4"/>
  <c r="HQ18" i="4"/>
  <c r="HQ19" i="4"/>
  <c r="HQ20" i="4"/>
  <c r="HQ21" i="4"/>
  <c r="HQ22" i="4"/>
  <c r="HQ23" i="4"/>
  <c r="HQ24" i="4"/>
  <c r="HQ25" i="4"/>
  <c r="HQ26" i="4"/>
  <c r="HQ27" i="4"/>
  <c r="HQ28" i="4"/>
  <c r="HQ29" i="4"/>
  <c r="HQ30" i="4"/>
  <c r="HQ31" i="4"/>
  <c r="HQ32" i="4"/>
  <c r="HQ33" i="4"/>
  <c r="HQ34" i="4"/>
  <c r="HQ35" i="4"/>
  <c r="HQ36" i="4"/>
  <c r="HQ37" i="4"/>
  <c r="HQ38" i="4"/>
  <c r="HQ39" i="4"/>
  <c r="HQ40" i="4"/>
  <c r="HQ41" i="4"/>
  <c r="HQ42" i="4"/>
  <c r="HQ43" i="4"/>
  <c r="HQ44" i="4"/>
  <c r="HQ45" i="4"/>
  <c r="HQ46" i="4"/>
  <c r="HQ47" i="4"/>
  <c r="HQ48" i="4"/>
  <c r="HQ49" i="4"/>
  <c r="HQ50" i="4"/>
  <c r="HQ51" i="4"/>
  <c r="HQ52" i="4"/>
  <c r="HQ53" i="4"/>
  <c r="HQ54" i="4"/>
  <c r="HQ55" i="4"/>
  <c r="HQ56" i="4"/>
  <c r="HQ57" i="4"/>
  <c r="HQ58" i="4"/>
  <c r="HQ59" i="4"/>
  <c r="HQ60" i="4"/>
  <c r="HQ61" i="4"/>
  <c r="HQ62" i="4"/>
  <c r="HQ63" i="4"/>
  <c r="HQ64" i="4"/>
  <c r="HQ65" i="4"/>
  <c r="HQ66" i="4"/>
  <c r="HQ67" i="4"/>
  <c r="HQ68" i="4"/>
  <c r="HQ69" i="4"/>
  <c r="HQ70" i="4"/>
  <c r="HQ71" i="4"/>
  <c r="HQ72" i="4"/>
  <c r="HQ73" i="4"/>
  <c r="HQ74" i="4"/>
  <c r="HQ75" i="4"/>
  <c r="HQ76" i="4"/>
  <c r="HQ77" i="4"/>
  <c r="HQ78" i="4"/>
  <c r="HQ79" i="4"/>
  <c r="HQ80" i="4"/>
  <c r="HQ81" i="4"/>
  <c r="HQ82" i="4"/>
  <c r="HQ83" i="4"/>
  <c r="HQ84" i="4"/>
  <c r="HQ85" i="4"/>
  <c r="HQ86" i="4"/>
  <c r="HQ87" i="4"/>
  <c r="HQ88" i="4"/>
  <c r="HQ89" i="4"/>
  <c r="HQ90" i="4"/>
  <c r="HQ91" i="4"/>
  <c r="HQ92" i="4"/>
  <c r="HQ93" i="4"/>
  <c r="HQ94" i="4"/>
  <c r="HQ95" i="4"/>
  <c r="HQ96" i="4"/>
  <c r="HQ97" i="4"/>
  <c r="HQ98" i="4"/>
  <c r="HQ99" i="4"/>
  <c r="HQ100" i="4"/>
  <c r="HQ101" i="4"/>
  <c r="HQ102" i="4"/>
  <c r="HQ103" i="4"/>
  <c r="HQ104" i="4"/>
  <c r="HQ105" i="4"/>
  <c r="HQ106" i="4"/>
  <c r="HQ107" i="4"/>
  <c r="HQ108" i="4"/>
  <c r="HQ109" i="4"/>
  <c r="HQ110" i="4"/>
  <c r="HQ111" i="4"/>
  <c r="HQ112" i="4"/>
  <c r="HQ113" i="4"/>
  <c r="HQ114" i="4"/>
  <c r="HQ115" i="4"/>
  <c r="HQ116" i="4"/>
  <c r="HQ117" i="4"/>
  <c r="HQ118" i="4"/>
  <c r="HQ119" i="4"/>
  <c r="HQ120" i="4"/>
  <c r="HQ121" i="4"/>
  <c r="HQ122" i="4"/>
  <c r="HQ123" i="4"/>
  <c r="HQ124" i="4"/>
  <c r="HQ125" i="4"/>
  <c r="HQ126" i="4"/>
  <c r="HQ127" i="4"/>
  <c r="HQ128" i="4"/>
  <c r="HQ129" i="4"/>
  <c r="HQ130" i="4"/>
  <c r="HQ131" i="4"/>
  <c r="HQ132" i="4"/>
  <c r="HQ133" i="4"/>
  <c r="HQ134" i="4"/>
  <c r="HQ135" i="4"/>
  <c r="HQ136" i="4"/>
  <c r="HQ137" i="4"/>
  <c r="HQ138" i="4"/>
  <c r="HQ139" i="4"/>
  <c r="HQ140" i="4"/>
  <c r="HQ141" i="4"/>
  <c r="HQ142" i="4"/>
  <c r="HQ143" i="4"/>
  <c r="HQ144" i="4"/>
  <c r="HQ145" i="4"/>
  <c r="HQ146" i="4"/>
  <c r="HQ147" i="4"/>
  <c r="HQ148" i="4"/>
  <c r="HQ149" i="4"/>
  <c r="HQ150" i="4"/>
  <c r="HQ2" i="4"/>
  <c r="BA2" i="4"/>
  <c r="AZ2" i="4"/>
  <c r="AZ3" i="4"/>
  <c r="AZ4" i="4"/>
  <c r="AZ5" i="4"/>
  <c r="AZ6" i="4"/>
  <c r="AZ7" i="4"/>
  <c r="AZ8" i="4"/>
  <c r="AZ9" i="4"/>
  <c r="AZ10" i="4"/>
  <c r="AZ11" i="4"/>
  <c r="AZ12" i="4"/>
  <c r="AZ13" i="4"/>
  <c r="AZ14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5" i="4"/>
  <c r="AZ56" i="4"/>
  <c r="AZ57" i="4"/>
  <c r="AZ58" i="4"/>
  <c r="AZ59" i="4"/>
  <c r="AZ60" i="4"/>
  <c r="AZ61" i="4"/>
  <c r="AZ62" i="4"/>
  <c r="AZ63" i="4"/>
  <c r="AZ64" i="4"/>
  <c r="AZ65" i="4"/>
  <c r="AZ66" i="4"/>
  <c r="AZ67" i="4"/>
  <c r="AZ6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AZ134" i="4"/>
  <c r="AZ135" i="4"/>
  <c r="AZ136" i="4"/>
  <c r="AZ137" i="4"/>
  <c r="AZ138" i="4"/>
  <c r="AZ139" i="4"/>
  <c r="AZ140" i="4"/>
  <c r="AZ141" i="4"/>
  <c r="AZ142" i="4"/>
  <c r="AZ143" i="4"/>
  <c r="AZ144" i="4"/>
  <c r="AZ145" i="4"/>
  <c r="AZ146" i="4"/>
  <c r="AZ147" i="4"/>
  <c r="AZ148" i="4"/>
  <c r="AZ149" i="4"/>
  <c r="AZ150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2" i="4"/>
  <c r="AV2" i="4"/>
  <c r="DN3" i="4" l="1"/>
  <c r="DN4" i="4"/>
  <c r="DN5" i="4"/>
  <c r="DN6" i="4"/>
  <c r="DN7" i="4"/>
  <c r="DN8" i="4"/>
  <c r="DN9" i="4"/>
  <c r="DN10" i="4"/>
  <c r="DN11" i="4"/>
  <c r="DN12" i="4"/>
  <c r="DN13" i="4"/>
  <c r="DN14" i="4"/>
  <c r="DN15" i="4"/>
  <c r="DN16" i="4"/>
  <c r="DN17" i="4"/>
  <c r="DN18" i="4"/>
  <c r="DN19" i="4"/>
  <c r="DN20" i="4"/>
  <c r="DN21" i="4"/>
  <c r="DN22" i="4"/>
  <c r="DN23" i="4"/>
  <c r="DN24" i="4"/>
  <c r="DN25" i="4"/>
  <c r="DN26" i="4"/>
  <c r="DN27" i="4"/>
  <c r="DN28" i="4"/>
  <c r="DN29" i="4"/>
  <c r="DN30" i="4"/>
  <c r="DN31" i="4"/>
  <c r="DN32" i="4"/>
  <c r="DN33" i="4"/>
  <c r="DN34" i="4"/>
  <c r="DN35" i="4"/>
  <c r="DN36" i="4"/>
  <c r="DN37" i="4"/>
  <c r="DN38" i="4"/>
  <c r="DN39" i="4"/>
  <c r="DN40" i="4"/>
  <c r="DN41" i="4"/>
  <c r="DN42" i="4"/>
  <c r="DN43" i="4"/>
  <c r="DN44" i="4"/>
  <c r="DN45" i="4"/>
  <c r="DN46" i="4"/>
  <c r="DN47" i="4"/>
  <c r="DN48" i="4"/>
  <c r="DN49" i="4"/>
  <c r="DN50" i="4"/>
  <c r="DN51" i="4"/>
  <c r="DN52" i="4"/>
  <c r="DN53" i="4"/>
  <c r="DN54" i="4"/>
  <c r="DN55" i="4"/>
  <c r="DN56" i="4"/>
  <c r="DN57" i="4"/>
  <c r="DN58" i="4"/>
  <c r="DN59" i="4"/>
  <c r="DN60" i="4"/>
  <c r="DN61" i="4"/>
  <c r="DN62" i="4"/>
  <c r="DN63" i="4"/>
  <c r="DN64" i="4"/>
  <c r="DN65" i="4"/>
  <c r="DN66" i="4"/>
  <c r="DN67" i="4"/>
  <c r="DN68" i="4"/>
  <c r="DN69" i="4"/>
  <c r="DN70" i="4"/>
  <c r="DN71" i="4"/>
  <c r="DN72" i="4"/>
  <c r="DN73" i="4"/>
  <c r="DN74" i="4"/>
  <c r="DN75" i="4"/>
  <c r="DN76" i="4"/>
  <c r="DN77" i="4"/>
  <c r="DN78" i="4"/>
  <c r="DN79" i="4"/>
  <c r="DN80" i="4"/>
  <c r="DN81" i="4"/>
  <c r="DN82" i="4"/>
  <c r="DN83" i="4"/>
  <c r="DN84" i="4"/>
  <c r="DN85" i="4"/>
  <c r="DN86" i="4"/>
  <c r="DN87" i="4"/>
  <c r="DN88" i="4"/>
  <c r="DN89" i="4"/>
  <c r="DN90" i="4"/>
  <c r="DN91" i="4"/>
  <c r="DN92" i="4"/>
  <c r="DN93" i="4"/>
  <c r="DN94" i="4"/>
  <c r="DN95" i="4"/>
  <c r="DN96" i="4"/>
  <c r="DN97" i="4"/>
  <c r="DN98" i="4"/>
  <c r="DN99" i="4"/>
  <c r="DN100" i="4"/>
  <c r="DN101" i="4"/>
  <c r="DN102" i="4"/>
  <c r="DN103" i="4"/>
  <c r="DN104" i="4"/>
  <c r="DN105" i="4"/>
  <c r="DN106" i="4"/>
  <c r="DN107" i="4"/>
  <c r="DN108" i="4"/>
  <c r="DN109" i="4"/>
  <c r="DN110" i="4"/>
  <c r="DN111" i="4"/>
  <c r="DN112" i="4"/>
  <c r="DN113" i="4"/>
  <c r="DN114" i="4"/>
  <c r="DN115" i="4"/>
  <c r="DN116" i="4"/>
  <c r="DN117" i="4"/>
  <c r="DN118" i="4"/>
  <c r="DN119" i="4"/>
  <c r="DN120" i="4"/>
  <c r="DN121" i="4"/>
  <c r="DN122" i="4"/>
  <c r="DN123" i="4"/>
  <c r="DN124" i="4"/>
  <c r="DN125" i="4"/>
  <c r="DN126" i="4"/>
  <c r="DN127" i="4"/>
  <c r="DN128" i="4"/>
  <c r="DN129" i="4"/>
  <c r="DN130" i="4"/>
  <c r="DN131" i="4"/>
  <c r="DN132" i="4"/>
  <c r="DN133" i="4"/>
  <c r="DN134" i="4"/>
  <c r="DN135" i="4"/>
  <c r="DN136" i="4"/>
  <c r="DN137" i="4"/>
  <c r="DN138" i="4"/>
  <c r="DN139" i="4"/>
  <c r="DN140" i="4"/>
  <c r="DN141" i="4"/>
  <c r="DN142" i="4"/>
  <c r="DN143" i="4"/>
  <c r="DN144" i="4"/>
  <c r="DN145" i="4"/>
  <c r="DN146" i="4"/>
  <c r="DN147" i="4"/>
  <c r="DN148" i="4"/>
  <c r="DN149" i="4"/>
  <c r="DN150" i="4"/>
  <c r="DN2" i="4"/>
  <c r="AE3" i="4"/>
  <c r="AF3" i="4"/>
  <c r="AE4" i="4"/>
  <c r="AF4" i="4"/>
  <c r="AE5" i="4"/>
  <c r="AF5" i="4"/>
  <c r="AE6" i="4"/>
  <c r="AF6" i="4"/>
  <c r="AE7" i="4"/>
  <c r="AF7" i="4"/>
  <c r="AE8" i="4"/>
  <c r="AF8" i="4"/>
  <c r="AE9" i="4"/>
  <c r="AF9" i="4"/>
  <c r="AE10" i="4"/>
  <c r="AF10" i="4"/>
  <c r="AE11" i="4"/>
  <c r="AF11" i="4"/>
  <c r="AE12" i="4"/>
  <c r="AF12" i="4"/>
  <c r="AE13" i="4"/>
  <c r="AF13" i="4"/>
  <c r="AE14" i="4"/>
  <c r="AF14" i="4"/>
  <c r="AE15" i="4"/>
  <c r="AF15" i="4"/>
  <c r="AE16" i="4"/>
  <c r="AF16" i="4"/>
  <c r="AE17" i="4"/>
  <c r="AF17" i="4"/>
  <c r="AE18" i="4"/>
  <c r="AF18" i="4"/>
  <c r="AE19" i="4"/>
  <c r="AF19" i="4"/>
  <c r="AE20" i="4"/>
  <c r="AF20" i="4"/>
  <c r="AE21" i="4"/>
  <c r="AF21" i="4"/>
  <c r="AE22" i="4"/>
  <c r="AF22" i="4"/>
  <c r="AE23" i="4"/>
  <c r="AF23" i="4"/>
  <c r="AE24" i="4"/>
  <c r="AF24" i="4"/>
  <c r="AE25" i="4"/>
  <c r="AF25" i="4"/>
  <c r="AE26" i="4"/>
  <c r="AF26" i="4"/>
  <c r="AE27" i="4"/>
  <c r="AF27" i="4"/>
  <c r="AE28" i="4"/>
  <c r="AF28" i="4"/>
  <c r="AE29" i="4"/>
  <c r="AF29" i="4"/>
  <c r="AE30" i="4"/>
  <c r="AF30" i="4"/>
  <c r="AE31" i="4"/>
  <c r="AF31" i="4"/>
  <c r="AE32" i="4"/>
  <c r="AF32" i="4"/>
  <c r="AE33" i="4"/>
  <c r="AF33" i="4"/>
  <c r="AE34" i="4"/>
  <c r="AF34" i="4"/>
  <c r="AE35" i="4"/>
  <c r="AF35" i="4"/>
  <c r="AE36" i="4"/>
  <c r="AF36" i="4"/>
  <c r="AE37" i="4"/>
  <c r="AF37" i="4"/>
  <c r="AE38" i="4"/>
  <c r="AF38" i="4"/>
  <c r="AE39" i="4"/>
  <c r="AF39" i="4"/>
  <c r="AE40" i="4"/>
  <c r="AF40" i="4"/>
  <c r="AE41" i="4"/>
  <c r="AF41" i="4"/>
  <c r="AE42" i="4"/>
  <c r="AF42" i="4"/>
  <c r="AE43" i="4"/>
  <c r="AF43" i="4"/>
  <c r="AE44" i="4"/>
  <c r="AF44" i="4"/>
  <c r="AE45" i="4"/>
  <c r="AF45" i="4"/>
  <c r="AE46" i="4"/>
  <c r="AF46" i="4"/>
  <c r="AE47" i="4"/>
  <c r="AF47" i="4"/>
  <c r="AE48" i="4"/>
  <c r="AF48" i="4"/>
  <c r="AE49" i="4"/>
  <c r="AF49" i="4"/>
  <c r="AE50" i="4"/>
  <c r="AF50" i="4"/>
  <c r="AE51" i="4"/>
  <c r="AF51" i="4"/>
  <c r="AE52" i="4"/>
  <c r="AF52" i="4"/>
  <c r="AE53" i="4"/>
  <c r="AF53" i="4"/>
  <c r="AE54" i="4"/>
  <c r="AF54" i="4"/>
  <c r="AE55" i="4"/>
  <c r="AF55" i="4"/>
  <c r="AE56" i="4"/>
  <c r="AF56" i="4"/>
  <c r="AE57" i="4"/>
  <c r="AF57" i="4"/>
  <c r="AE58" i="4"/>
  <c r="AF58" i="4"/>
  <c r="AE59" i="4"/>
  <c r="AF59" i="4"/>
  <c r="AE60" i="4"/>
  <c r="AF60" i="4"/>
  <c r="AE61" i="4"/>
  <c r="AF61" i="4"/>
  <c r="AE62" i="4"/>
  <c r="AF62" i="4"/>
  <c r="AE63" i="4"/>
  <c r="AF63" i="4"/>
  <c r="AE64" i="4"/>
  <c r="AF64" i="4"/>
  <c r="AE65" i="4"/>
  <c r="AF65" i="4"/>
  <c r="AE66" i="4"/>
  <c r="AF66" i="4"/>
  <c r="AE67" i="4"/>
  <c r="AF67" i="4"/>
  <c r="AE68" i="4"/>
  <c r="AF68" i="4"/>
  <c r="AE69" i="4"/>
  <c r="AF69" i="4"/>
  <c r="AE70" i="4"/>
  <c r="AF70" i="4"/>
  <c r="AE71" i="4"/>
  <c r="AF71" i="4"/>
  <c r="AE72" i="4"/>
  <c r="AF72" i="4"/>
  <c r="AE73" i="4"/>
  <c r="AF73" i="4"/>
  <c r="AE74" i="4"/>
  <c r="AF74" i="4"/>
  <c r="AE75" i="4"/>
  <c r="AF75" i="4"/>
  <c r="AE76" i="4"/>
  <c r="AF76" i="4"/>
  <c r="AE77" i="4"/>
  <c r="AF77" i="4"/>
  <c r="AE78" i="4"/>
  <c r="AF78" i="4"/>
  <c r="AE79" i="4"/>
  <c r="AF79" i="4"/>
  <c r="AE80" i="4"/>
  <c r="AF80" i="4"/>
  <c r="AE81" i="4"/>
  <c r="AF81" i="4"/>
  <c r="AE82" i="4"/>
  <c r="AF82" i="4"/>
  <c r="AE83" i="4"/>
  <c r="AF83" i="4"/>
  <c r="AE84" i="4"/>
  <c r="AF84" i="4"/>
  <c r="AE85" i="4"/>
  <c r="AF85" i="4"/>
  <c r="AE86" i="4"/>
  <c r="AF86" i="4"/>
  <c r="AE87" i="4"/>
  <c r="AF87" i="4"/>
  <c r="AE88" i="4"/>
  <c r="AF88" i="4"/>
  <c r="AE89" i="4"/>
  <c r="AF89" i="4"/>
  <c r="AE90" i="4"/>
  <c r="AF90" i="4"/>
  <c r="AE91" i="4"/>
  <c r="AF91" i="4"/>
  <c r="AE92" i="4"/>
  <c r="AF92" i="4"/>
  <c r="AE93" i="4"/>
  <c r="AF93" i="4"/>
  <c r="AE94" i="4"/>
  <c r="AF94" i="4"/>
  <c r="AE95" i="4"/>
  <c r="AF95" i="4"/>
  <c r="AE96" i="4"/>
  <c r="AF96" i="4"/>
  <c r="AE97" i="4"/>
  <c r="AF97" i="4"/>
  <c r="AE98" i="4"/>
  <c r="AF98" i="4"/>
  <c r="AE99" i="4"/>
  <c r="AF99" i="4"/>
  <c r="AE100" i="4"/>
  <c r="AF100" i="4"/>
  <c r="AE101" i="4"/>
  <c r="AF101" i="4"/>
  <c r="AE102" i="4"/>
  <c r="AF102" i="4"/>
  <c r="AE103" i="4"/>
  <c r="AF103" i="4"/>
  <c r="AE104" i="4"/>
  <c r="AF104" i="4"/>
  <c r="AE105" i="4"/>
  <c r="AF105" i="4"/>
  <c r="AE106" i="4"/>
  <c r="AF106" i="4"/>
  <c r="AE107" i="4"/>
  <c r="AF107" i="4"/>
  <c r="AE108" i="4"/>
  <c r="AF108" i="4"/>
  <c r="AE109" i="4"/>
  <c r="AF109" i="4"/>
  <c r="AE110" i="4"/>
  <c r="AF110" i="4"/>
  <c r="AE111" i="4"/>
  <c r="AF111" i="4"/>
  <c r="AE112" i="4"/>
  <c r="AF112" i="4"/>
  <c r="AE113" i="4"/>
  <c r="AF113" i="4"/>
  <c r="AE114" i="4"/>
  <c r="AF114" i="4"/>
  <c r="AE115" i="4"/>
  <c r="AF115" i="4"/>
  <c r="AE116" i="4"/>
  <c r="AF116" i="4"/>
  <c r="AE117" i="4"/>
  <c r="AF117" i="4"/>
  <c r="AE118" i="4"/>
  <c r="AF118" i="4"/>
  <c r="AE119" i="4"/>
  <c r="AF119" i="4"/>
  <c r="AE120" i="4"/>
  <c r="AF120" i="4"/>
  <c r="AE121" i="4"/>
  <c r="AF121" i="4"/>
  <c r="AE122" i="4"/>
  <c r="AF122" i="4"/>
  <c r="AE123" i="4"/>
  <c r="AF123" i="4"/>
  <c r="AE124" i="4"/>
  <c r="AF124" i="4"/>
  <c r="AE125" i="4"/>
  <c r="AF125" i="4"/>
  <c r="AE126" i="4"/>
  <c r="AF126" i="4"/>
  <c r="AE127" i="4"/>
  <c r="AF127" i="4"/>
  <c r="AE128" i="4"/>
  <c r="AF128" i="4"/>
  <c r="AE129" i="4"/>
  <c r="AF129" i="4"/>
  <c r="AE130" i="4"/>
  <c r="AF130" i="4"/>
  <c r="AE131" i="4"/>
  <c r="AF131" i="4"/>
  <c r="AE132" i="4"/>
  <c r="AF132" i="4"/>
  <c r="AE133" i="4"/>
  <c r="AF133" i="4"/>
  <c r="AE134" i="4"/>
  <c r="AF134" i="4"/>
  <c r="AE135" i="4"/>
  <c r="AF135" i="4"/>
  <c r="AE136" i="4"/>
  <c r="AF136" i="4"/>
  <c r="AE137" i="4"/>
  <c r="AF137" i="4"/>
  <c r="AE138" i="4"/>
  <c r="AF138" i="4"/>
  <c r="AE139" i="4"/>
  <c r="AF139" i="4"/>
  <c r="AE140" i="4"/>
  <c r="AF140" i="4"/>
  <c r="AE141" i="4"/>
  <c r="AF141" i="4"/>
  <c r="AE142" i="4"/>
  <c r="AF142" i="4"/>
  <c r="AE143" i="4"/>
  <c r="AF143" i="4"/>
  <c r="AE144" i="4"/>
  <c r="AF144" i="4"/>
  <c r="AE145" i="4"/>
  <c r="AF145" i="4"/>
  <c r="AE146" i="4"/>
  <c r="AF146" i="4"/>
  <c r="AE147" i="4"/>
  <c r="AF147" i="4"/>
  <c r="AE148" i="4"/>
  <c r="AF148" i="4"/>
  <c r="AE149" i="4"/>
  <c r="AF149" i="4"/>
  <c r="AE150" i="4"/>
  <c r="AF150" i="4"/>
  <c r="AF2" i="4"/>
  <c r="AE2" i="4"/>
  <c r="AD3" i="4"/>
  <c r="AD4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2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2" i="4"/>
  <c r="AV3" i="4" l="1"/>
  <c r="AV4" i="4"/>
  <c r="AV5" i="4"/>
  <c r="AV6" i="4"/>
  <c r="AV7" i="4"/>
  <c r="AV8" i="4"/>
  <c r="AV9" i="4"/>
  <c r="AV10" i="4"/>
  <c r="AV11" i="4"/>
  <c r="AV12" i="4"/>
  <c r="AV13" i="4"/>
  <c r="AV14" i="4"/>
  <c r="AV15" i="4"/>
  <c r="AV16" i="4"/>
  <c r="AV17" i="4"/>
  <c r="AV18" i="4"/>
  <c r="AV19" i="4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V64" i="4"/>
  <c r="AV65" i="4"/>
  <c r="AV66" i="4"/>
  <c r="AV67" i="4"/>
  <c r="AV68" i="4"/>
  <c r="AV69" i="4"/>
  <c r="AV70" i="4"/>
  <c r="AV71" i="4"/>
  <c r="AV72" i="4"/>
  <c r="AV73" i="4"/>
  <c r="AV74" i="4"/>
  <c r="AV75" i="4"/>
  <c r="AV76" i="4"/>
  <c r="AV77" i="4"/>
  <c r="AV78" i="4"/>
  <c r="AV79" i="4"/>
  <c r="AV80" i="4"/>
  <c r="AV81" i="4"/>
  <c r="AV82" i="4"/>
  <c r="AV83" i="4"/>
  <c r="AV84" i="4"/>
  <c r="AV85" i="4"/>
  <c r="AV86" i="4"/>
  <c r="AV87" i="4"/>
  <c r="AV88" i="4"/>
  <c r="AV89" i="4"/>
  <c r="AV90" i="4"/>
  <c r="AV91" i="4"/>
  <c r="AV92" i="4"/>
  <c r="AV93" i="4"/>
  <c r="AV94" i="4"/>
  <c r="AV95" i="4"/>
  <c r="AV96" i="4"/>
  <c r="AV97" i="4"/>
  <c r="AV98" i="4"/>
  <c r="AV99" i="4"/>
  <c r="AV100" i="4"/>
  <c r="AV101" i="4"/>
  <c r="AV102" i="4"/>
  <c r="AV103" i="4"/>
  <c r="AV104" i="4"/>
  <c r="AV105" i="4"/>
  <c r="AV106" i="4"/>
  <c r="AV107" i="4"/>
  <c r="AV108" i="4"/>
  <c r="AV109" i="4"/>
  <c r="AV110" i="4"/>
  <c r="AV111" i="4"/>
  <c r="AV112" i="4"/>
  <c r="AV113" i="4"/>
  <c r="AV114" i="4"/>
  <c r="AV115" i="4"/>
  <c r="AV116" i="4"/>
  <c r="AV117" i="4"/>
  <c r="AV118" i="4"/>
  <c r="AV119" i="4"/>
  <c r="AV120" i="4"/>
  <c r="AV121" i="4"/>
  <c r="AV122" i="4"/>
  <c r="AV123" i="4"/>
  <c r="AV124" i="4"/>
  <c r="AV125" i="4"/>
  <c r="AV126" i="4"/>
  <c r="AV127" i="4"/>
  <c r="AV128" i="4"/>
  <c r="AV129" i="4"/>
  <c r="AV130" i="4"/>
  <c r="AV131" i="4"/>
  <c r="AV132" i="4"/>
  <c r="AV133" i="4"/>
  <c r="AV134" i="4"/>
  <c r="AV135" i="4"/>
  <c r="AV136" i="4"/>
  <c r="AV137" i="4"/>
  <c r="AV138" i="4"/>
  <c r="AV139" i="4"/>
  <c r="AV140" i="4"/>
  <c r="AV141" i="4"/>
  <c r="AV142" i="4"/>
  <c r="AV143" i="4"/>
  <c r="AV144" i="4"/>
  <c r="AV145" i="4"/>
  <c r="AV146" i="4"/>
  <c r="AV147" i="4"/>
  <c r="AV148" i="4"/>
  <c r="AV149" i="4"/>
  <c r="AV150" i="4"/>
  <c r="AV38" i="4"/>
  <c r="A3" i="4"/>
  <c r="B3" i="4"/>
  <c r="C3" i="4"/>
  <c r="D3" i="4"/>
  <c r="E3" i="4"/>
  <c r="G3" i="4"/>
  <c r="J3" i="4"/>
  <c r="L3" i="4"/>
  <c r="M3" i="4"/>
  <c r="N3" i="4"/>
  <c r="U3" i="4"/>
  <c r="Y3" i="4"/>
  <c r="Z3" i="4"/>
  <c r="AA3" i="4"/>
  <c r="AB3" i="4"/>
  <c r="AG3" i="4"/>
  <c r="AQ3" i="4"/>
  <c r="AR3" i="4"/>
  <c r="AT3" i="4"/>
  <c r="AX3" i="4"/>
  <c r="AY3" i="4"/>
  <c r="BA3" i="4"/>
  <c r="BJ3" i="4"/>
  <c r="BX3" i="4"/>
  <c r="CA3" i="4"/>
  <c r="CI3" i="4"/>
  <c r="A4" i="4"/>
  <c r="B4" i="4"/>
  <c r="C4" i="4"/>
  <c r="D4" i="4"/>
  <c r="E4" i="4"/>
  <c r="G4" i="4"/>
  <c r="J4" i="4"/>
  <c r="L4" i="4"/>
  <c r="M4" i="4"/>
  <c r="N4" i="4"/>
  <c r="U4" i="4"/>
  <c r="Y4" i="4"/>
  <c r="Z4" i="4"/>
  <c r="AA4" i="4"/>
  <c r="AB4" i="4"/>
  <c r="AG4" i="4"/>
  <c r="AQ4" i="4"/>
  <c r="AR4" i="4"/>
  <c r="AT4" i="4"/>
  <c r="AX4" i="4"/>
  <c r="AY4" i="4"/>
  <c r="BA4" i="4"/>
  <c r="BJ4" i="4"/>
  <c r="BX4" i="4"/>
  <c r="CA4" i="4"/>
  <c r="CI4" i="4"/>
  <c r="A5" i="4"/>
  <c r="B5" i="4"/>
  <c r="C5" i="4"/>
  <c r="D5" i="4"/>
  <c r="E5" i="4"/>
  <c r="G5" i="4"/>
  <c r="J5" i="4"/>
  <c r="L5" i="4"/>
  <c r="M5" i="4"/>
  <c r="N5" i="4"/>
  <c r="U5" i="4"/>
  <c r="Y5" i="4"/>
  <c r="Z5" i="4"/>
  <c r="AA5" i="4"/>
  <c r="AB5" i="4"/>
  <c r="AG5" i="4"/>
  <c r="AQ5" i="4"/>
  <c r="AR5" i="4"/>
  <c r="AT5" i="4"/>
  <c r="AX5" i="4"/>
  <c r="AY5" i="4"/>
  <c r="BA5" i="4"/>
  <c r="BJ5" i="4"/>
  <c r="BX5" i="4"/>
  <c r="CA5" i="4"/>
  <c r="CI5" i="4"/>
  <c r="A6" i="4"/>
  <c r="B6" i="4"/>
  <c r="C6" i="4"/>
  <c r="D6" i="4"/>
  <c r="E6" i="4"/>
  <c r="G6" i="4"/>
  <c r="J6" i="4"/>
  <c r="L6" i="4"/>
  <c r="M6" i="4"/>
  <c r="N6" i="4"/>
  <c r="U6" i="4"/>
  <c r="Y6" i="4"/>
  <c r="Z6" i="4"/>
  <c r="AA6" i="4"/>
  <c r="AB6" i="4"/>
  <c r="AG6" i="4"/>
  <c r="AQ6" i="4"/>
  <c r="AR6" i="4"/>
  <c r="AT6" i="4"/>
  <c r="AX6" i="4"/>
  <c r="AY6" i="4"/>
  <c r="BA6" i="4"/>
  <c r="BJ6" i="4"/>
  <c r="BX6" i="4"/>
  <c r="CA6" i="4"/>
  <c r="CI6" i="4"/>
  <c r="A7" i="4"/>
  <c r="B7" i="4"/>
  <c r="C7" i="4"/>
  <c r="D7" i="4"/>
  <c r="E7" i="4"/>
  <c r="G7" i="4"/>
  <c r="J7" i="4"/>
  <c r="L7" i="4"/>
  <c r="M7" i="4"/>
  <c r="N7" i="4"/>
  <c r="U7" i="4"/>
  <c r="Y7" i="4"/>
  <c r="Z7" i="4"/>
  <c r="AA7" i="4"/>
  <c r="AB7" i="4"/>
  <c r="AG7" i="4"/>
  <c r="AQ7" i="4"/>
  <c r="AR7" i="4"/>
  <c r="AT7" i="4"/>
  <c r="AX7" i="4"/>
  <c r="AY7" i="4"/>
  <c r="BA7" i="4"/>
  <c r="BJ7" i="4"/>
  <c r="BX7" i="4"/>
  <c r="CA7" i="4"/>
  <c r="CI7" i="4"/>
  <c r="A8" i="4"/>
  <c r="B8" i="4"/>
  <c r="C8" i="4"/>
  <c r="D8" i="4"/>
  <c r="E8" i="4"/>
  <c r="G8" i="4"/>
  <c r="J8" i="4"/>
  <c r="L8" i="4"/>
  <c r="M8" i="4"/>
  <c r="N8" i="4"/>
  <c r="U8" i="4"/>
  <c r="Y8" i="4"/>
  <c r="Z8" i="4"/>
  <c r="AA8" i="4"/>
  <c r="AB8" i="4"/>
  <c r="AG8" i="4"/>
  <c r="AQ8" i="4"/>
  <c r="AR8" i="4"/>
  <c r="AT8" i="4"/>
  <c r="AX8" i="4"/>
  <c r="AY8" i="4"/>
  <c r="BA8" i="4"/>
  <c r="BJ8" i="4"/>
  <c r="BX8" i="4"/>
  <c r="CA8" i="4"/>
  <c r="CI8" i="4"/>
  <c r="A9" i="4"/>
  <c r="B9" i="4"/>
  <c r="C9" i="4"/>
  <c r="D9" i="4"/>
  <c r="E9" i="4"/>
  <c r="G9" i="4"/>
  <c r="J9" i="4"/>
  <c r="L9" i="4"/>
  <c r="M9" i="4"/>
  <c r="N9" i="4"/>
  <c r="U9" i="4"/>
  <c r="Y9" i="4"/>
  <c r="Z9" i="4"/>
  <c r="AA9" i="4"/>
  <c r="AB9" i="4"/>
  <c r="AG9" i="4"/>
  <c r="AQ9" i="4"/>
  <c r="AR9" i="4"/>
  <c r="AT9" i="4"/>
  <c r="AX9" i="4"/>
  <c r="AY9" i="4"/>
  <c r="BA9" i="4"/>
  <c r="BJ9" i="4"/>
  <c r="BX9" i="4"/>
  <c r="CA9" i="4"/>
  <c r="CI9" i="4"/>
  <c r="A10" i="4"/>
  <c r="B10" i="4"/>
  <c r="C10" i="4"/>
  <c r="D10" i="4"/>
  <c r="E10" i="4"/>
  <c r="G10" i="4"/>
  <c r="J10" i="4"/>
  <c r="L10" i="4"/>
  <c r="M10" i="4"/>
  <c r="N10" i="4"/>
  <c r="U10" i="4"/>
  <c r="Y10" i="4"/>
  <c r="Z10" i="4"/>
  <c r="AA10" i="4"/>
  <c r="AB10" i="4"/>
  <c r="AG10" i="4"/>
  <c r="AQ10" i="4"/>
  <c r="AR10" i="4"/>
  <c r="AT10" i="4"/>
  <c r="AX10" i="4"/>
  <c r="AY10" i="4"/>
  <c r="BA10" i="4"/>
  <c r="BJ10" i="4"/>
  <c r="BX10" i="4"/>
  <c r="CA10" i="4"/>
  <c r="CI10" i="4"/>
  <c r="A11" i="4"/>
  <c r="B11" i="4"/>
  <c r="C11" i="4"/>
  <c r="D11" i="4"/>
  <c r="E11" i="4"/>
  <c r="G11" i="4"/>
  <c r="J11" i="4"/>
  <c r="L11" i="4"/>
  <c r="M11" i="4"/>
  <c r="N11" i="4"/>
  <c r="U11" i="4"/>
  <c r="Y11" i="4"/>
  <c r="Z11" i="4"/>
  <c r="AA11" i="4"/>
  <c r="AB11" i="4"/>
  <c r="AG11" i="4"/>
  <c r="AQ11" i="4"/>
  <c r="AR11" i="4"/>
  <c r="AT11" i="4"/>
  <c r="AX11" i="4"/>
  <c r="AY11" i="4"/>
  <c r="BA11" i="4"/>
  <c r="BJ11" i="4"/>
  <c r="BX11" i="4"/>
  <c r="CA11" i="4"/>
  <c r="CI11" i="4"/>
  <c r="A12" i="4"/>
  <c r="B12" i="4"/>
  <c r="C12" i="4"/>
  <c r="D12" i="4"/>
  <c r="E12" i="4"/>
  <c r="G12" i="4"/>
  <c r="J12" i="4"/>
  <c r="L12" i="4"/>
  <c r="M12" i="4"/>
  <c r="N12" i="4"/>
  <c r="U12" i="4"/>
  <c r="Y12" i="4"/>
  <c r="Z12" i="4"/>
  <c r="AA12" i="4"/>
  <c r="AB12" i="4"/>
  <c r="AG12" i="4"/>
  <c r="AQ12" i="4"/>
  <c r="AR12" i="4"/>
  <c r="AT12" i="4"/>
  <c r="AX12" i="4"/>
  <c r="AY12" i="4"/>
  <c r="BA12" i="4"/>
  <c r="BJ12" i="4"/>
  <c r="BX12" i="4"/>
  <c r="CA12" i="4"/>
  <c r="CI12" i="4"/>
  <c r="A13" i="4"/>
  <c r="B13" i="4"/>
  <c r="C13" i="4"/>
  <c r="D13" i="4"/>
  <c r="E13" i="4"/>
  <c r="G13" i="4"/>
  <c r="J13" i="4"/>
  <c r="L13" i="4"/>
  <c r="M13" i="4"/>
  <c r="N13" i="4"/>
  <c r="U13" i="4"/>
  <c r="Y13" i="4"/>
  <c r="Z13" i="4"/>
  <c r="AA13" i="4"/>
  <c r="AB13" i="4"/>
  <c r="AG13" i="4"/>
  <c r="AQ13" i="4"/>
  <c r="AR13" i="4"/>
  <c r="AT13" i="4"/>
  <c r="AX13" i="4"/>
  <c r="AY13" i="4"/>
  <c r="BA13" i="4"/>
  <c r="BJ13" i="4"/>
  <c r="BX13" i="4"/>
  <c r="CA13" i="4"/>
  <c r="CI13" i="4"/>
  <c r="A14" i="4"/>
  <c r="B14" i="4"/>
  <c r="C14" i="4"/>
  <c r="D14" i="4"/>
  <c r="E14" i="4"/>
  <c r="G14" i="4"/>
  <c r="J14" i="4"/>
  <c r="L14" i="4"/>
  <c r="M14" i="4"/>
  <c r="N14" i="4"/>
  <c r="U14" i="4"/>
  <c r="Y14" i="4"/>
  <c r="Z14" i="4"/>
  <c r="AA14" i="4"/>
  <c r="AB14" i="4"/>
  <c r="AG14" i="4"/>
  <c r="AQ14" i="4"/>
  <c r="AR14" i="4"/>
  <c r="AT14" i="4"/>
  <c r="AX14" i="4"/>
  <c r="AY14" i="4"/>
  <c r="BA14" i="4"/>
  <c r="BJ14" i="4"/>
  <c r="BX14" i="4"/>
  <c r="CA14" i="4"/>
  <c r="CI14" i="4"/>
  <c r="A15" i="4"/>
  <c r="B15" i="4"/>
  <c r="C15" i="4"/>
  <c r="D15" i="4"/>
  <c r="E15" i="4"/>
  <c r="G15" i="4"/>
  <c r="J15" i="4"/>
  <c r="L15" i="4"/>
  <c r="M15" i="4"/>
  <c r="N15" i="4"/>
  <c r="U15" i="4"/>
  <c r="Y15" i="4"/>
  <c r="Z15" i="4"/>
  <c r="AA15" i="4"/>
  <c r="AB15" i="4"/>
  <c r="AG15" i="4"/>
  <c r="AQ15" i="4"/>
  <c r="AR15" i="4"/>
  <c r="AT15" i="4"/>
  <c r="AX15" i="4"/>
  <c r="AY15" i="4"/>
  <c r="BA15" i="4"/>
  <c r="BJ15" i="4"/>
  <c r="BX15" i="4"/>
  <c r="CA15" i="4"/>
  <c r="CI15" i="4"/>
  <c r="A16" i="4"/>
  <c r="B16" i="4"/>
  <c r="C16" i="4"/>
  <c r="D16" i="4"/>
  <c r="E16" i="4"/>
  <c r="G16" i="4"/>
  <c r="J16" i="4"/>
  <c r="L16" i="4"/>
  <c r="M16" i="4"/>
  <c r="N16" i="4"/>
  <c r="U16" i="4"/>
  <c r="Y16" i="4"/>
  <c r="Z16" i="4"/>
  <c r="AA16" i="4"/>
  <c r="AB16" i="4"/>
  <c r="AG16" i="4"/>
  <c r="AQ16" i="4"/>
  <c r="AR16" i="4"/>
  <c r="AT16" i="4"/>
  <c r="AX16" i="4"/>
  <c r="AY16" i="4"/>
  <c r="BA16" i="4"/>
  <c r="BJ16" i="4"/>
  <c r="BX16" i="4"/>
  <c r="CA16" i="4"/>
  <c r="CI16" i="4"/>
  <c r="A17" i="4"/>
  <c r="B17" i="4"/>
  <c r="C17" i="4"/>
  <c r="D17" i="4"/>
  <c r="E17" i="4"/>
  <c r="G17" i="4"/>
  <c r="J17" i="4"/>
  <c r="L17" i="4"/>
  <c r="M17" i="4"/>
  <c r="N17" i="4"/>
  <c r="U17" i="4"/>
  <c r="Y17" i="4"/>
  <c r="Z17" i="4"/>
  <c r="AA17" i="4"/>
  <c r="AB17" i="4"/>
  <c r="AG17" i="4"/>
  <c r="AQ17" i="4"/>
  <c r="AR17" i="4"/>
  <c r="AT17" i="4"/>
  <c r="AX17" i="4"/>
  <c r="AY17" i="4"/>
  <c r="BA17" i="4"/>
  <c r="BJ17" i="4"/>
  <c r="BX17" i="4"/>
  <c r="CA17" i="4"/>
  <c r="CI17" i="4"/>
  <c r="A18" i="4"/>
  <c r="B18" i="4"/>
  <c r="C18" i="4"/>
  <c r="D18" i="4"/>
  <c r="E18" i="4"/>
  <c r="G18" i="4"/>
  <c r="J18" i="4"/>
  <c r="L18" i="4"/>
  <c r="M18" i="4"/>
  <c r="N18" i="4"/>
  <c r="U18" i="4"/>
  <c r="Y18" i="4"/>
  <c r="Z18" i="4"/>
  <c r="AA18" i="4"/>
  <c r="AB18" i="4"/>
  <c r="AG18" i="4"/>
  <c r="AQ18" i="4"/>
  <c r="AR18" i="4"/>
  <c r="AT18" i="4"/>
  <c r="AX18" i="4"/>
  <c r="AY18" i="4"/>
  <c r="BA18" i="4"/>
  <c r="BJ18" i="4"/>
  <c r="BX18" i="4"/>
  <c r="CA18" i="4"/>
  <c r="CI18" i="4"/>
  <c r="A19" i="4"/>
  <c r="B19" i="4"/>
  <c r="C19" i="4"/>
  <c r="D19" i="4"/>
  <c r="E19" i="4"/>
  <c r="G19" i="4"/>
  <c r="J19" i="4"/>
  <c r="L19" i="4"/>
  <c r="M19" i="4"/>
  <c r="N19" i="4"/>
  <c r="U19" i="4"/>
  <c r="Y19" i="4"/>
  <c r="Z19" i="4"/>
  <c r="AA19" i="4"/>
  <c r="AB19" i="4"/>
  <c r="AG19" i="4"/>
  <c r="AQ19" i="4"/>
  <c r="AR19" i="4"/>
  <c r="AT19" i="4"/>
  <c r="AX19" i="4"/>
  <c r="AY19" i="4"/>
  <c r="BA19" i="4"/>
  <c r="BJ19" i="4"/>
  <c r="BX19" i="4"/>
  <c r="CA19" i="4"/>
  <c r="CI19" i="4"/>
  <c r="A20" i="4"/>
  <c r="B20" i="4"/>
  <c r="C20" i="4"/>
  <c r="D20" i="4"/>
  <c r="E20" i="4"/>
  <c r="G20" i="4"/>
  <c r="J20" i="4"/>
  <c r="L20" i="4"/>
  <c r="M20" i="4"/>
  <c r="N20" i="4"/>
  <c r="U20" i="4"/>
  <c r="Y20" i="4"/>
  <c r="Z20" i="4"/>
  <c r="AA20" i="4"/>
  <c r="AB20" i="4"/>
  <c r="AG20" i="4"/>
  <c r="AQ20" i="4"/>
  <c r="AR20" i="4"/>
  <c r="AT20" i="4"/>
  <c r="AX20" i="4"/>
  <c r="AY20" i="4"/>
  <c r="BA20" i="4"/>
  <c r="BJ20" i="4"/>
  <c r="BX20" i="4"/>
  <c r="CA20" i="4"/>
  <c r="CI20" i="4"/>
  <c r="A21" i="4"/>
  <c r="B21" i="4"/>
  <c r="C21" i="4"/>
  <c r="D21" i="4"/>
  <c r="E21" i="4"/>
  <c r="G21" i="4"/>
  <c r="J21" i="4"/>
  <c r="L21" i="4"/>
  <c r="M21" i="4"/>
  <c r="N21" i="4"/>
  <c r="U21" i="4"/>
  <c r="Y21" i="4"/>
  <c r="Z21" i="4"/>
  <c r="AA21" i="4"/>
  <c r="AB21" i="4"/>
  <c r="AG21" i="4"/>
  <c r="AQ21" i="4"/>
  <c r="AR21" i="4"/>
  <c r="AT21" i="4"/>
  <c r="AX21" i="4"/>
  <c r="AY21" i="4"/>
  <c r="BA21" i="4"/>
  <c r="BJ21" i="4"/>
  <c r="BX21" i="4"/>
  <c r="CA21" i="4"/>
  <c r="CI21" i="4"/>
  <c r="A22" i="4"/>
  <c r="B22" i="4"/>
  <c r="C22" i="4"/>
  <c r="D22" i="4"/>
  <c r="E22" i="4"/>
  <c r="G22" i="4"/>
  <c r="J22" i="4"/>
  <c r="L22" i="4"/>
  <c r="M22" i="4"/>
  <c r="N22" i="4"/>
  <c r="U22" i="4"/>
  <c r="Y22" i="4"/>
  <c r="Z22" i="4"/>
  <c r="AA22" i="4"/>
  <c r="AB22" i="4"/>
  <c r="AG22" i="4"/>
  <c r="AQ22" i="4"/>
  <c r="AR22" i="4"/>
  <c r="AT22" i="4"/>
  <c r="AX22" i="4"/>
  <c r="AY22" i="4"/>
  <c r="BA22" i="4"/>
  <c r="BJ22" i="4"/>
  <c r="BX22" i="4"/>
  <c r="CA22" i="4"/>
  <c r="CI22" i="4"/>
  <c r="A23" i="4"/>
  <c r="B23" i="4"/>
  <c r="C23" i="4"/>
  <c r="D23" i="4"/>
  <c r="E23" i="4"/>
  <c r="G23" i="4"/>
  <c r="J23" i="4"/>
  <c r="L23" i="4"/>
  <c r="M23" i="4"/>
  <c r="N23" i="4"/>
  <c r="U23" i="4"/>
  <c r="Y23" i="4"/>
  <c r="Z23" i="4"/>
  <c r="AA23" i="4"/>
  <c r="AB23" i="4"/>
  <c r="AG23" i="4"/>
  <c r="AQ23" i="4"/>
  <c r="AR23" i="4"/>
  <c r="AT23" i="4"/>
  <c r="AX23" i="4"/>
  <c r="AY23" i="4"/>
  <c r="BA23" i="4"/>
  <c r="BJ23" i="4"/>
  <c r="BX23" i="4"/>
  <c r="CA23" i="4"/>
  <c r="CI23" i="4"/>
  <c r="A24" i="4"/>
  <c r="B24" i="4"/>
  <c r="C24" i="4"/>
  <c r="D24" i="4"/>
  <c r="E24" i="4"/>
  <c r="G24" i="4"/>
  <c r="J24" i="4"/>
  <c r="L24" i="4"/>
  <c r="M24" i="4"/>
  <c r="N24" i="4"/>
  <c r="U24" i="4"/>
  <c r="Y24" i="4"/>
  <c r="Z24" i="4"/>
  <c r="AA24" i="4"/>
  <c r="AB24" i="4"/>
  <c r="AG24" i="4"/>
  <c r="AQ24" i="4"/>
  <c r="AR24" i="4"/>
  <c r="AT24" i="4"/>
  <c r="AX24" i="4"/>
  <c r="AY24" i="4"/>
  <c r="BA24" i="4"/>
  <c r="BJ24" i="4"/>
  <c r="BX24" i="4"/>
  <c r="CA24" i="4"/>
  <c r="CI24" i="4"/>
  <c r="A25" i="4"/>
  <c r="B25" i="4"/>
  <c r="C25" i="4"/>
  <c r="D25" i="4"/>
  <c r="E25" i="4"/>
  <c r="G25" i="4"/>
  <c r="J25" i="4"/>
  <c r="L25" i="4"/>
  <c r="M25" i="4"/>
  <c r="N25" i="4"/>
  <c r="U25" i="4"/>
  <c r="Y25" i="4"/>
  <c r="Z25" i="4"/>
  <c r="AA25" i="4"/>
  <c r="AB25" i="4"/>
  <c r="AG25" i="4"/>
  <c r="AQ25" i="4"/>
  <c r="AR25" i="4"/>
  <c r="AT25" i="4"/>
  <c r="AX25" i="4"/>
  <c r="AY25" i="4"/>
  <c r="BA25" i="4"/>
  <c r="BJ25" i="4"/>
  <c r="BX25" i="4"/>
  <c r="CA25" i="4"/>
  <c r="CI25" i="4"/>
  <c r="A26" i="4"/>
  <c r="B26" i="4"/>
  <c r="C26" i="4"/>
  <c r="D26" i="4"/>
  <c r="E26" i="4"/>
  <c r="G26" i="4"/>
  <c r="J26" i="4"/>
  <c r="L26" i="4"/>
  <c r="M26" i="4"/>
  <c r="N26" i="4"/>
  <c r="U26" i="4"/>
  <c r="Y26" i="4"/>
  <c r="Z26" i="4"/>
  <c r="AA26" i="4"/>
  <c r="AB26" i="4"/>
  <c r="AG26" i="4"/>
  <c r="AQ26" i="4"/>
  <c r="AR26" i="4"/>
  <c r="AT26" i="4"/>
  <c r="AX26" i="4"/>
  <c r="AY26" i="4"/>
  <c r="BA26" i="4"/>
  <c r="BJ26" i="4"/>
  <c r="BX26" i="4"/>
  <c r="CA26" i="4"/>
  <c r="CI26" i="4"/>
  <c r="A27" i="4"/>
  <c r="B27" i="4"/>
  <c r="C27" i="4"/>
  <c r="D27" i="4"/>
  <c r="E27" i="4"/>
  <c r="G27" i="4"/>
  <c r="J27" i="4"/>
  <c r="L27" i="4"/>
  <c r="M27" i="4"/>
  <c r="N27" i="4"/>
  <c r="U27" i="4"/>
  <c r="Y27" i="4"/>
  <c r="Z27" i="4"/>
  <c r="AA27" i="4"/>
  <c r="AB27" i="4"/>
  <c r="AG27" i="4"/>
  <c r="AQ27" i="4"/>
  <c r="AR27" i="4"/>
  <c r="AT27" i="4"/>
  <c r="AX27" i="4"/>
  <c r="AY27" i="4"/>
  <c r="BA27" i="4"/>
  <c r="BJ27" i="4"/>
  <c r="BX27" i="4"/>
  <c r="CA27" i="4"/>
  <c r="CI27" i="4"/>
  <c r="A28" i="4"/>
  <c r="B28" i="4"/>
  <c r="C28" i="4"/>
  <c r="D28" i="4"/>
  <c r="E28" i="4"/>
  <c r="G28" i="4"/>
  <c r="J28" i="4"/>
  <c r="L28" i="4"/>
  <c r="M28" i="4"/>
  <c r="N28" i="4"/>
  <c r="U28" i="4"/>
  <c r="Y28" i="4"/>
  <c r="Z28" i="4"/>
  <c r="AA28" i="4"/>
  <c r="AB28" i="4"/>
  <c r="AG28" i="4"/>
  <c r="AQ28" i="4"/>
  <c r="AR28" i="4"/>
  <c r="AT28" i="4"/>
  <c r="AX28" i="4"/>
  <c r="AY28" i="4"/>
  <c r="BA28" i="4"/>
  <c r="BJ28" i="4"/>
  <c r="BX28" i="4"/>
  <c r="CA28" i="4"/>
  <c r="CI28" i="4"/>
  <c r="A29" i="4"/>
  <c r="B29" i="4"/>
  <c r="C29" i="4"/>
  <c r="D29" i="4"/>
  <c r="E29" i="4"/>
  <c r="G29" i="4"/>
  <c r="J29" i="4"/>
  <c r="L29" i="4"/>
  <c r="M29" i="4"/>
  <c r="N29" i="4"/>
  <c r="U29" i="4"/>
  <c r="Y29" i="4"/>
  <c r="Z29" i="4"/>
  <c r="AA29" i="4"/>
  <c r="AB29" i="4"/>
  <c r="AG29" i="4"/>
  <c r="AQ29" i="4"/>
  <c r="AR29" i="4"/>
  <c r="AT29" i="4"/>
  <c r="AX29" i="4"/>
  <c r="AY29" i="4"/>
  <c r="BA29" i="4"/>
  <c r="BJ29" i="4"/>
  <c r="BX29" i="4"/>
  <c r="CA29" i="4"/>
  <c r="CI29" i="4"/>
  <c r="A30" i="4"/>
  <c r="B30" i="4"/>
  <c r="C30" i="4"/>
  <c r="D30" i="4"/>
  <c r="E30" i="4"/>
  <c r="G30" i="4"/>
  <c r="J30" i="4"/>
  <c r="L30" i="4"/>
  <c r="M30" i="4"/>
  <c r="N30" i="4"/>
  <c r="U30" i="4"/>
  <c r="Y30" i="4"/>
  <c r="Z30" i="4"/>
  <c r="AA30" i="4"/>
  <c r="AB30" i="4"/>
  <c r="AG30" i="4"/>
  <c r="AQ30" i="4"/>
  <c r="AR30" i="4"/>
  <c r="AT30" i="4"/>
  <c r="AX30" i="4"/>
  <c r="AY30" i="4"/>
  <c r="BA30" i="4"/>
  <c r="BJ30" i="4"/>
  <c r="BX30" i="4"/>
  <c r="CA30" i="4"/>
  <c r="CI30" i="4"/>
  <c r="A31" i="4"/>
  <c r="B31" i="4"/>
  <c r="C31" i="4"/>
  <c r="D31" i="4"/>
  <c r="E31" i="4"/>
  <c r="G31" i="4"/>
  <c r="J31" i="4"/>
  <c r="L31" i="4"/>
  <c r="M31" i="4"/>
  <c r="N31" i="4"/>
  <c r="U31" i="4"/>
  <c r="Y31" i="4"/>
  <c r="Z31" i="4"/>
  <c r="AA31" i="4"/>
  <c r="AB31" i="4"/>
  <c r="AG31" i="4"/>
  <c r="AQ31" i="4"/>
  <c r="AR31" i="4"/>
  <c r="AT31" i="4"/>
  <c r="AX31" i="4"/>
  <c r="AY31" i="4"/>
  <c r="BA31" i="4"/>
  <c r="BJ31" i="4"/>
  <c r="BX31" i="4"/>
  <c r="CA31" i="4"/>
  <c r="CI31" i="4"/>
  <c r="A32" i="4"/>
  <c r="B32" i="4"/>
  <c r="C32" i="4"/>
  <c r="D32" i="4"/>
  <c r="E32" i="4"/>
  <c r="G32" i="4"/>
  <c r="J32" i="4"/>
  <c r="L32" i="4"/>
  <c r="M32" i="4"/>
  <c r="N32" i="4"/>
  <c r="U32" i="4"/>
  <c r="Y32" i="4"/>
  <c r="Z32" i="4"/>
  <c r="AA32" i="4"/>
  <c r="AB32" i="4"/>
  <c r="AG32" i="4"/>
  <c r="AQ32" i="4"/>
  <c r="AR32" i="4"/>
  <c r="AT32" i="4"/>
  <c r="AX32" i="4"/>
  <c r="AY32" i="4"/>
  <c r="BA32" i="4"/>
  <c r="BJ32" i="4"/>
  <c r="BX32" i="4"/>
  <c r="CA32" i="4"/>
  <c r="CI32" i="4"/>
  <c r="A33" i="4"/>
  <c r="B33" i="4"/>
  <c r="C33" i="4"/>
  <c r="D33" i="4"/>
  <c r="E33" i="4"/>
  <c r="G33" i="4"/>
  <c r="J33" i="4"/>
  <c r="L33" i="4"/>
  <c r="M33" i="4"/>
  <c r="N33" i="4"/>
  <c r="U33" i="4"/>
  <c r="Y33" i="4"/>
  <c r="Z33" i="4"/>
  <c r="AA33" i="4"/>
  <c r="AB33" i="4"/>
  <c r="AG33" i="4"/>
  <c r="AQ33" i="4"/>
  <c r="AR33" i="4"/>
  <c r="AT33" i="4"/>
  <c r="AX33" i="4"/>
  <c r="AY33" i="4"/>
  <c r="BA33" i="4"/>
  <c r="BJ33" i="4"/>
  <c r="BX33" i="4"/>
  <c r="CA33" i="4"/>
  <c r="CI33" i="4"/>
  <c r="A34" i="4"/>
  <c r="B34" i="4"/>
  <c r="C34" i="4"/>
  <c r="D34" i="4"/>
  <c r="E34" i="4"/>
  <c r="G34" i="4"/>
  <c r="J34" i="4"/>
  <c r="L34" i="4"/>
  <c r="M34" i="4"/>
  <c r="N34" i="4"/>
  <c r="U34" i="4"/>
  <c r="Y34" i="4"/>
  <c r="Z34" i="4"/>
  <c r="AA34" i="4"/>
  <c r="AB34" i="4"/>
  <c r="AG34" i="4"/>
  <c r="AQ34" i="4"/>
  <c r="AR34" i="4"/>
  <c r="AT34" i="4"/>
  <c r="AX34" i="4"/>
  <c r="AY34" i="4"/>
  <c r="BA34" i="4"/>
  <c r="BJ34" i="4"/>
  <c r="BX34" i="4"/>
  <c r="CA34" i="4"/>
  <c r="CI34" i="4"/>
  <c r="A35" i="4"/>
  <c r="B35" i="4"/>
  <c r="C35" i="4"/>
  <c r="D35" i="4"/>
  <c r="E35" i="4"/>
  <c r="G35" i="4"/>
  <c r="J35" i="4"/>
  <c r="L35" i="4"/>
  <c r="M35" i="4"/>
  <c r="N35" i="4"/>
  <c r="U35" i="4"/>
  <c r="Y35" i="4"/>
  <c r="Z35" i="4"/>
  <c r="AA35" i="4"/>
  <c r="AB35" i="4"/>
  <c r="AG35" i="4"/>
  <c r="AQ35" i="4"/>
  <c r="AR35" i="4"/>
  <c r="AT35" i="4"/>
  <c r="AX35" i="4"/>
  <c r="AY35" i="4"/>
  <c r="BA35" i="4"/>
  <c r="BJ35" i="4"/>
  <c r="BX35" i="4"/>
  <c r="CA35" i="4"/>
  <c r="CI35" i="4"/>
  <c r="A36" i="4"/>
  <c r="B36" i="4"/>
  <c r="C36" i="4"/>
  <c r="D36" i="4"/>
  <c r="E36" i="4"/>
  <c r="G36" i="4"/>
  <c r="J36" i="4"/>
  <c r="L36" i="4"/>
  <c r="M36" i="4"/>
  <c r="N36" i="4"/>
  <c r="U36" i="4"/>
  <c r="Y36" i="4"/>
  <c r="Z36" i="4"/>
  <c r="AA36" i="4"/>
  <c r="AB36" i="4"/>
  <c r="AG36" i="4"/>
  <c r="AQ36" i="4"/>
  <c r="AR36" i="4"/>
  <c r="AT36" i="4"/>
  <c r="AX36" i="4"/>
  <c r="AY36" i="4"/>
  <c r="BA36" i="4"/>
  <c r="BJ36" i="4"/>
  <c r="BX36" i="4"/>
  <c r="CA36" i="4"/>
  <c r="CI36" i="4"/>
  <c r="A37" i="4"/>
  <c r="B37" i="4"/>
  <c r="C37" i="4"/>
  <c r="D37" i="4"/>
  <c r="E37" i="4"/>
  <c r="G37" i="4"/>
  <c r="J37" i="4"/>
  <c r="L37" i="4"/>
  <c r="M37" i="4"/>
  <c r="N37" i="4"/>
  <c r="U37" i="4"/>
  <c r="Y37" i="4"/>
  <c r="Z37" i="4"/>
  <c r="AA37" i="4"/>
  <c r="AB37" i="4"/>
  <c r="AG37" i="4"/>
  <c r="AQ37" i="4"/>
  <c r="AR37" i="4"/>
  <c r="AT37" i="4"/>
  <c r="AX37" i="4"/>
  <c r="AY37" i="4"/>
  <c r="BA37" i="4"/>
  <c r="BJ37" i="4"/>
  <c r="BX37" i="4"/>
  <c r="CA37" i="4"/>
  <c r="CI37" i="4"/>
  <c r="A38" i="4"/>
  <c r="B38" i="4"/>
  <c r="C38" i="4"/>
  <c r="D38" i="4"/>
  <c r="E38" i="4"/>
  <c r="G38" i="4"/>
  <c r="J38" i="4"/>
  <c r="L38" i="4"/>
  <c r="M38" i="4"/>
  <c r="N38" i="4"/>
  <c r="U38" i="4"/>
  <c r="Y38" i="4"/>
  <c r="Z38" i="4"/>
  <c r="AA38" i="4"/>
  <c r="AB38" i="4"/>
  <c r="AG38" i="4"/>
  <c r="AQ38" i="4"/>
  <c r="AR38" i="4"/>
  <c r="AT38" i="4"/>
  <c r="AX38" i="4"/>
  <c r="AY38" i="4"/>
  <c r="BA38" i="4"/>
  <c r="BJ38" i="4"/>
  <c r="BX38" i="4"/>
  <c r="CA38" i="4"/>
  <c r="CI38" i="4"/>
  <c r="A39" i="4"/>
  <c r="B39" i="4"/>
  <c r="C39" i="4"/>
  <c r="D39" i="4"/>
  <c r="E39" i="4"/>
  <c r="G39" i="4"/>
  <c r="J39" i="4"/>
  <c r="L39" i="4"/>
  <c r="M39" i="4"/>
  <c r="N39" i="4"/>
  <c r="U39" i="4"/>
  <c r="Y39" i="4"/>
  <c r="Z39" i="4"/>
  <c r="AA39" i="4"/>
  <c r="AB39" i="4"/>
  <c r="AG39" i="4"/>
  <c r="AQ39" i="4"/>
  <c r="AR39" i="4"/>
  <c r="AT39" i="4"/>
  <c r="AX39" i="4"/>
  <c r="AY39" i="4"/>
  <c r="BA39" i="4"/>
  <c r="BJ39" i="4"/>
  <c r="BX39" i="4"/>
  <c r="CA39" i="4"/>
  <c r="CI39" i="4"/>
  <c r="A40" i="4"/>
  <c r="B40" i="4"/>
  <c r="C40" i="4"/>
  <c r="D40" i="4"/>
  <c r="E40" i="4"/>
  <c r="G40" i="4"/>
  <c r="J40" i="4"/>
  <c r="L40" i="4"/>
  <c r="M40" i="4"/>
  <c r="N40" i="4"/>
  <c r="U40" i="4"/>
  <c r="Y40" i="4"/>
  <c r="Z40" i="4"/>
  <c r="AA40" i="4"/>
  <c r="AB40" i="4"/>
  <c r="AG40" i="4"/>
  <c r="AQ40" i="4"/>
  <c r="AR40" i="4"/>
  <c r="AT40" i="4"/>
  <c r="AX40" i="4"/>
  <c r="AY40" i="4"/>
  <c r="BA40" i="4"/>
  <c r="BJ40" i="4"/>
  <c r="BX40" i="4"/>
  <c r="CA40" i="4"/>
  <c r="CI40" i="4"/>
  <c r="A41" i="4"/>
  <c r="B41" i="4"/>
  <c r="C41" i="4"/>
  <c r="D41" i="4"/>
  <c r="E41" i="4"/>
  <c r="G41" i="4"/>
  <c r="J41" i="4"/>
  <c r="L41" i="4"/>
  <c r="M41" i="4"/>
  <c r="N41" i="4"/>
  <c r="U41" i="4"/>
  <c r="Y41" i="4"/>
  <c r="Z41" i="4"/>
  <c r="AA41" i="4"/>
  <c r="AB41" i="4"/>
  <c r="AG41" i="4"/>
  <c r="AQ41" i="4"/>
  <c r="AR41" i="4"/>
  <c r="AT41" i="4"/>
  <c r="AX41" i="4"/>
  <c r="AY41" i="4"/>
  <c r="BA41" i="4"/>
  <c r="BJ41" i="4"/>
  <c r="BX41" i="4"/>
  <c r="CA41" i="4"/>
  <c r="CI41" i="4"/>
  <c r="A42" i="4"/>
  <c r="B42" i="4"/>
  <c r="C42" i="4"/>
  <c r="D42" i="4"/>
  <c r="E42" i="4"/>
  <c r="G42" i="4"/>
  <c r="J42" i="4"/>
  <c r="L42" i="4"/>
  <c r="M42" i="4"/>
  <c r="N42" i="4"/>
  <c r="U42" i="4"/>
  <c r="Y42" i="4"/>
  <c r="Z42" i="4"/>
  <c r="AA42" i="4"/>
  <c r="AB42" i="4"/>
  <c r="AC42" i="4"/>
  <c r="AG42" i="4"/>
  <c r="AQ42" i="4"/>
  <c r="AR42" i="4"/>
  <c r="AT42" i="4"/>
  <c r="AX42" i="4"/>
  <c r="AY42" i="4"/>
  <c r="BA42" i="4"/>
  <c r="BJ42" i="4"/>
  <c r="BX42" i="4"/>
  <c r="CA42" i="4"/>
  <c r="CI42" i="4"/>
  <c r="A43" i="4"/>
  <c r="B43" i="4"/>
  <c r="C43" i="4"/>
  <c r="D43" i="4"/>
  <c r="E43" i="4"/>
  <c r="G43" i="4"/>
  <c r="J43" i="4"/>
  <c r="L43" i="4"/>
  <c r="M43" i="4"/>
  <c r="N43" i="4"/>
  <c r="U43" i="4"/>
  <c r="Y43" i="4"/>
  <c r="Z43" i="4"/>
  <c r="AA43" i="4"/>
  <c r="AB43" i="4"/>
  <c r="AC43" i="4"/>
  <c r="AG43" i="4"/>
  <c r="AQ43" i="4"/>
  <c r="AR43" i="4"/>
  <c r="AT43" i="4"/>
  <c r="AX43" i="4"/>
  <c r="AY43" i="4"/>
  <c r="BA43" i="4"/>
  <c r="BJ43" i="4"/>
  <c r="BX43" i="4"/>
  <c r="CA43" i="4"/>
  <c r="CI43" i="4"/>
  <c r="A44" i="4"/>
  <c r="B44" i="4"/>
  <c r="C44" i="4"/>
  <c r="D44" i="4"/>
  <c r="E44" i="4"/>
  <c r="G44" i="4"/>
  <c r="J44" i="4"/>
  <c r="L44" i="4"/>
  <c r="M44" i="4"/>
  <c r="N44" i="4"/>
  <c r="U44" i="4"/>
  <c r="Y44" i="4"/>
  <c r="Z44" i="4"/>
  <c r="AA44" i="4"/>
  <c r="AB44" i="4"/>
  <c r="AC44" i="4"/>
  <c r="AG44" i="4"/>
  <c r="AQ44" i="4"/>
  <c r="AR44" i="4"/>
  <c r="AT44" i="4"/>
  <c r="AX44" i="4"/>
  <c r="AY44" i="4"/>
  <c r="BA44" i="4"/>
  <c r="BJ44" i="4"/>
  <c r="BX44" i="4"/>
  <c r="CA44" i="4"/>
  <c r="CI44" i="4"/>
  <c r="A45" i="4"/>
  <c r="B45" i="4"/>
  <c r="C45" i="4"/>
  <c r="D45" i="4"/>
  <c r="E45" i="4"/>
  <c r="G45" i="4"/>
  <c r="J45" i="4"/>
  <c r="L45" i="4"/>
  <c r="M45" i="4"/>
  <c r="N45" i="4"/>
  <c r="U45" i="4"/>
  <c r="Y45" i="4"/>
  <c r="Z45" i="4"/>
  <c r="AA45" i="4"/>
  <c r="AB45" i="4"/>
  <c r="AC45" i="4"/>
  <c r="AG45" i="4"/>
  <c r="AQ45" i="4"/>
  <c r="AR45" i="4"/>
  <c r="AT45" i="4"/>
  <c r="AX45" i="4"/>
  <c r="AY45" i="4"/>
  <c r="BA45" i="4"/>
  <c r="BJ45" i="4"/>
  <c r="BX45" i="4"/>
  <c r="CA45" i="4"/>
  <c r="CI45" i="4"/>
  <c r="A46" i="4"/>
  <c r="B46" i="4"/>
  <c r="C46" i="4"/>
  <c r="D46" i="4"/>
  <c r="E46" i="4"/>
  <c r="G46" i="4"/>
  <c r="J46" i="4"/>
  <c r="L46" i="4"/>
  <c r="M46" i="4"/>
  <c r="N46" i="4"/>
  <c r="U46" i="4"/>
  <c r="Y46" i="4"/>
  <c r="Z46" i="4"/>
  <c r="AA46" i="4"/>
  <c r="AB46" i="4"/>
  <c r="AC46" i="4"/>
  <c r="AG46" i="4"/>
  <c r="AQ46" i="4"/>
  <c r="AR46" i="4"/>
  <c r="AT46" i="4"/>
  <c r="AX46" i="4"/>
  <c r="AY46" i="4"/>
  <c r="BA46" i="4"/>
  <c r="BJ46" i="4"/>
  <c r="BX46" i="4"/>
  <c r="CA46" i="4"/>
  <c r="CI46" i="4"/>
  <c r="A47" i="4"/>
  <c r="B47" i="4"/>
  <c r="C47" i="4"/>
  <c r="D47" i="4"/>
  <c r="E47" i="4"/>
  <c r="G47" i="4"/>
  <c r="J47" i="4"/>
  <c r="L47" i="4"/>
  <c r="M47" i="4"/>
  <c r="N47" i="4"/>
  <c r="U47" i="4"/>
  <c r="Y47" i="4"/>
  <c r="Z47" i="4"/>
  <c r="AA47" i="4"/>
  <c r="AB47" i="4"/>
  <c r="AC47" i="4"/>
  <c r="AG47" i="4"/>
  <c r="AQ47" i="4"/>
  <c r="AR47" i="4"/>
  <c r="AT47" i="4"/>
  <c r="AX47" i="4"/>
  <c r="AY47" i="4"/>
  <c r="BA47" i="4"/>
  <c r="BJ47" i="4"/>
  <c r="BX47" i="4"/>
  <c r="CA47" i="4"/>
  <c r="CI47" i="4"/>
  <c r="A48" i="4"/>
  <c r="B48" i="4"/>
  <c r="C48" i="4"/>
  <c r="D48" i="4"/>
  <c r="E48" i="4"/>
  <c r="G48" i="4"/>
  <c r="J48" i="4"/>
  <c r="L48" i="4"/>
  <c r="M48" i="4"/>
  <c r="N48" i="4"/>
  <c r="U48" i="4"/>
  <c r="Y48" i="4"/>
  <c r="Z48" i="4"/>
  <c r="AA48" i="4"/>
  <c r="AB48" i="4"/>
  <c r="AC48" i="4"/>
  <c r="AG48" i="4"/>
  <c r="AQ48" i="4"/>
  <c r="AR48" i="4"/>
  <c r="AT48" i="4"/>
  <c r="AX48" i="4"/>
  <c r="AY48" i="4"/>
  <c r="BA48" i="4"/>
  <c r="BJ48" i="4"/>
  <c r="BX48" i="4"/>
  <c r="CA48" i="4"/>
  <c r="CI48" i="4"/>
  <c r="A49" i="4"/>
  <c r="B49" i="4"/>
  <c r="C49" i="4"/>
  <c r="D49" i="4"/>
  <c r="E49" i="4"/>
  <c r="G49" i="4"/>
  <c r="J49" i="4"/>
  <c r="L49" i="4"/>
  <c r="M49" i="4"/>
  <c r="N49" i="4"/>
  <c r="U49" i="4"/>
  <c r="Y49" i="4"/>
  <c r="Z49" i="4"/>
  <c r="AA49" i="4"/>
  <c r="AB49" i="4"/>
  <c r="AC49" i="4"/>
  <c r="AG49" i="4"/>
  <c r="AQ49" i="4"/>
  <c r="AR49" i="4"/>
  <c r="AT49" i="4"/>
  <c r="AX49" i="4"/>
  <c r="AY49" i="4"/>
  <c r="BA49" i="4"/>
  <c r="BJ49" i="4"/>
  <c r="BX49" i="4"/>
  <c r="CA49" i="4"/>
  <c r="CI49" i="4"/>
  <c r="A50" i="4"/>
  <c r="B50" i="4"/>
  <c r="C50" i="4"/>
  <c r="D50" i="4"/>
  <c r="E50" i="4"/>
  <c r="G50" i="4"/>
  <c r="J50" i="4"/>
  <c r="L50" i="4"/>
  <c r="M50" i="4"/>
  <c r="N50" i="4"/>
  <c r="U50" i="4"/>
  <c r="Y50" i="4"/>
  <c r="Z50" i="4"/>
  <c r="AA50" i="4"/>
  <c r="AB50" i="4"/>
  <c r="AC50" i="4"/>
  <c r="AG50" i="4"/>
  <c r="AQ50" i="4"/>
  <c r="AR50" i="4"/>
  <c r="AT50" i="4"/>
  <c r="AX50" i="4"/>
  <c r="AY50" i="4"/>
  <c r="BA50" i="4"/>
  <c r="BJ50" i="4"/>
  <c r="BX50" i="4"/>
  <c r="CA50" i="4"/>
  <c r="CI50" i="4"/>
  <c r="A51" i="4"/>
  <c r="B51" i="4"/>
  <c r="C51" i="4"/>
  <c r="D51" i="4"/>
  <c r="E51" i="4"/>
  <c r="G51" i="4"/>
  <c r="J51" i="4"/>
  <c r="L51" i="4"/>
  <c r="M51" i="4"/>
  <c r="N51" i="4"/>
  <c r="U51" i="4"/>
  <c r="Y51" i="4"/>
  <c r="Z51" i="4"/>
  <c r="AA51" i="4"/>
  <c r="AB51" i="4"/>
  <c r="AC51" i="4"/>
  <c r="AG51" i="4"/>
  <c r="AQ51" i="4"/>
  <c r="AR51" i="4"/>
  <c r="AT51" i="4"/>
  <c r="AX51" i="4"/>
  <c r="AY51" i="4"/>
  <c r="BA51" i="4"/>
  <c r="BJ51" i="4"/>
  <c r="BX51" i="4"/>
  <c r="CA51" i="4"/>
  <c r="CI51" i="4"/>
  <c r="A52" i="4"/>
  <c r="B52" i="4"/>
  <c r="C52" i="4"/>
  <c r="D52" i="4"/>
  <c r="E52" i="4"/>
  <c r="G52" i="4"/>
  <c r="J52" i="4"/>
  <c r="L52" i="4"/>
  <c r="M52" i="4"/>
  <c r="N52" i="4"/>
  <c r="U52" i="4"/>
  <c r="Y52" i="4"/>
  <c r="Z52" i="4"/>
  <c r="AA52" i="4"/>
  <c r="AB52" i="4"/>
  <c r="AC52" i="4"/>
  <c r="AG52" i="4"/>
  <c r="AQ52" i="4"/>
  <c r="AR52" i="4"/>
  <c r="AT52" i="4"/>
  <c r="AX52" i="4"/>
  <c r="AY52" i="4"/>
  <c r="BA52" i="4"/>
  <c r="BJ52" i="4"/>
  <c r="BX52" i="4"/>
  <c r="CA52" i="4"/>
  <c r="CI52" i="4"/>
  <c r="A53" i="4"/>
  <c r="B53" i="4"/>
  <c r="C53" i="4"/>
  <c r="D53" i="4"/>
  <c r="E53" i="4"/>
  <c r="G53" i="4"/>
  <c r="J53" i="4"/>
  <c r="L53" i="4"/>
  <c r="M53" i="4"/>
  <c r="N53" i="4"/>
  <c r="U53" i="4"/>
  <c r="Y53" i="4"/>
  <c r="Z53" i="4"/>
  <c r="AA53" i="4"/>
  <c r="AB53" i="4"/>
  <c r="AC53" i="4"/>
  <c r="AG53" i="4"/>
  <c r="AQ53" i="4"/>
  <c r="AR53" i="4"/>
  <c r="AT53" i="4"/>
  <c r="AX53" i="4"/>
  <c r="AY53" i="4"/>
  <c r="BA53" i="4"/>
  <c r="BJ53" i="4"/>
  <c r="BX53" i="4"/>
  <c r="CA53" i="4"/>
  <c r="CI53" i="4"/>
  <c r="A54" i="4"/>
  <c r="B54" i="4"/>
  <c r="C54" i="4"/>
  <c r="D54" i="4"/>
  <c r="E54" i="4"/>
  <c r="G54" i="4"/>
  <c r="J54" i="4"/>
  <c r="L54" i="4"/>
  <c r="M54" i="4"/>
  <c r="N54" i="4"/>
  <c r="U54" i="4"/>
  <c r="Y54" i="4"/>
  <c r="Z54" i="4"/>
  <c r="AA54" i="4"/>
  <c r="AB54" i="4"/>
  <c r="AC54" i="4"/>
  <c r="AG54" i="4"/>
  <c r="AQ54" i="4"/>
  <c r="AR54" i="4"/>
  <c r="AT54" i="4"/>
  <c r="AX54" i="4"/>
  <c r="AY54" i="4"/>
  <c r="BA54" i="4"/>
  <c r="BJ54" i="4"/>
  <c r="BX54" i="4"/>
  <c r="CA54" i="4"/>
  <c r="CI54" i="4"/>
  <c r="A55" i="4"/>
  <c r="B55" i="4"/>
  <c r="C55" i="4"/>
  <c r="D55" i="4"/>
  <c r="E55" i="4"/>
  <c r="G55" i="4"/>
  <c r="J55" i="4"/>
  <c r="L55" i="4"/>
  <c r="M55" i="4"/>
  <c r="N55" i="4"/>
  <c r="U55" i="4"/>
  <c r="Y55" i="4"/>
  <c r="Z55" i="4"/>
  <c r="AA55" i="4"/>
  <c r="AB55" i="4"/>
  <c r="AC55" i="4"/>
  <c r="AG55" i="4"/>
  <c r="AQ55" i="4"/>
  <c r="AR55" i="4"/>
  <c r="AT55" i="4"/>
  <c r="AX55" i="4"/>
  <c r="AY55" i="4"/>
  <c r="BA55" i="4"/>
  <c r="BJ55" i="4"/>
  <c r="BX55" i="4"/>
  <c r="CA55" i="4"/>
  <c r="CI55" i="4"/>
  <c r="A56" i="4"/>
  <c r="B56" i="4"/>
  <c r="C56" i="4"/>
  <c r="D56" i="4"/>
  <c r="E56" i="4"/>
  <c r="G56" i="4"/>
  <c r="J56" i="4"/>
  <c r="L56" i="4"/>
  <c r="M56" i="4"/>
  <c r="N56" i="4"/>
  <c r="U56" i="4"/>
  <c r="Y56" i="4"/>
  <c r="Z56" i="4"/>
  <c r="AA56" i="4"/>
  <c r="AB56" i="4"/>
  <c r="AC56" i="4"/>
  <c r="AG56" i="4"/>
  <c r="AQ56" i="4"/>
  <c r="AR56" i="4"/>
  <c r="AT56" i="4"/>
  <c r="AX56" i="4"/>
  <c r="AY56" i="4"/>
  <c r="BA56" i="4"/>
  <c r="BJ56" i="4"/>
  <c r="BX56" i="4"/>
  <c r="CA56" i="4"/>
  <c r="CI56" i="4"/>
  <c r="A57" i="4"/>
  <c r="B57" i="4"/>
  <c r="C57" i="4"/>
  <c r="D57" i="4"/>
  <c r="E57" i="4"/>
  <c r="G57" i="4"/>
  <c r="J57" i="4"/>
  <c r="L57" i="4"/>
  <c r="M57" i="4"/>
  <c r="N57" i="4"/>
  <c r="U57" i="4"/>
  <c r="Y57" i="4"/>
  <c r="Z57" i="4"/>
  <c r="AA57" i="4"/>
  <c r="AB57" i="4"/>
  <c r="AC57" i="4"/>
  <c r="AG57" i="4"/>
  <c r="AQ57" i="4"/>
  <c r="AR57" i="4"/>
  <c r="AT57" i="4"/>
  <c r="AX57" i="4"/>
  <c r="AY57" i="4"/>
  <c r="BA57" i="4"/>
  <c r="BJ57" i="4"/>
  <c r="BX57" i="4"/>
  <c r="CA57" i="4"/>
  <c r="CI57" i="4"/>
  <c r="A58" i="4"/>
  <c r="B58" i="4"/>
  <c r="C58" i="4"/>
  <c r="D58" i="4"/>
  <c r="E58" i="4"/>
  <c r="G58" i="4"/>
  <c r="J58" i="4"/>
  <c r="L58" i="4"/>
  <c r="M58" i="4"/>
  <c r="N58" i="4"/>
  <c r="U58" i="4"/>
  <c r="Y58" i="4"/>
  <c r="Z58" i="4"/>
  <c r="AA58" i="4"/>
  <c r="AB58" i="4"/>
  <c r="AC58" i="4"/>
  <c r="AG58" i="4"/>
  <c r="AQ58" i="4"/>
  <c r="AR58" i="4"/>
  <c r="AT58" i="4"/>
  <c r="AX58" i="4"/>
  <c r="AY58" i="4"/>
  <c r="BA58" i="4"/>
  <c r="BJ58" i="4"/>
  <c r="BX58" i="4"/>
  <c r="CA58" i="4"/>
  <c r="CI58" i="4"/>
  <c r="A59" i="4"/>
  <c r="B59" i="4"/>
  <c r="C59" i="4"/>
  <c r="D59" i="4"/>
  <c r="E59" i="4"/>
  <c r="G59" i="4"/>
  <c r="J59" i="4"/>
  <c r="L59" i="4"/>
  <c r="M59" i="4"/>
  <c r="N59" i="4"/>
  <c r="U59" i="4"/>
  <c r="Y59" i="4"/>
  <c r="Z59" i="4"/>
  <c r="AA59" i="4"/>
  <c r="AB59" i="4"/>
  <c r="AC59" i="4"/>
  <c r="AG59" i="4"/>
  <c r="AQ59" i="4"/>
  <c r="AR59" i="4"/>
  <c r="AT59" i="4"/>
  <c r="AX59" i="4"/>
  <c r="AY59" i="4"/>
  <c r="BA59" i="4"/>
  <c r="BJ59" i="4"/>
  <c r="BX59" i="4"/>
  <c r="CA59" i="4"/>
  <c r="CI59" i="4"/>
  <c r="A60" i="4"/>
  <c r="B60" i="4"/>
  <c r="C60" i="4"/>
  <c r="D60" i="4"/>
  <c r="E60" i="4"/>
  <c r="G60" i="4"/>
  <c r="J60" i="4"/>
  <c r="L60" i="4"/>
  <c r="M60" i="4"/>
  <c r="N60" i="4"/>
  <c r="U60" i="4"/>
  <c r="Y60" i="4"/>
  <c r="Z60" i="4"/>
  <c r="AA60" i="4"/>
  <c r="AB60" i="4"/>
  <c r="AC60" i="4"/>
  <c r="AG60" i="4"/>
  <c r="AQ60" i="4"/>
  <c r="AR60" i="4"/>
  <c r="AT60" i="4"/>
  <c r="AX60" i="4"/>
  <c r="AY60" i="4"/>
  <c r="BA60" i="4"/>
  <c r="BJ60" i="4"/>
  <c r="BX60" i="4"/>
  <c r="CA60" i="4"/>
  <c r="CI60" i="4"/>
  <c r="A61" i="4"/>
  <c r="B61" i="4"/>
  <c r="C61" i="4"/>
  <c r="D61" i="4"/>
  <c r="E61" i="4"/>
  <c r="G61" i="4"/>
  <c r="J61" i="4"/>
  <c r="L61" i="4"/>
  <c r="M61" i="4"/>
  <c r="N61" i="4"/>
  <c r="U61" i="4"/>
  <c r="Y61" i="4"/>
  <c r="Z61" i="4"/>
  <c r="AA61" i="4"/>
  <c r="AB61" i="4"/>
  <c r="AC61" i="4"/>
  <c r="AG61" i="4"/>
  <c r="AQ61" i="4"/>
  <c r="AR61" i="4"/>
  <c r="AT61" i="4"/>
  <c r="AX61" i="4"/>
  <c r="AY61" i="4"/>
  <c r="BA61" i="4"/>
  <c r="BJ61" i="4"/>
  <c r="BX61" i="4"/>
  <c r="CA61" i="4"/>
  <c r="CI61" i="4"/>
  <c r="A62" i="4"/>
  <c r="B62" i="4"/>
  <c r="C62" i="4"/>
  <c r="D62" i="4"/>
  <c r="E62" i="4"/>
  <c r="G62" i="4"/>
  <c r="J62" i="4"/>
  <c r="L62" i="4"/>
  <c r="M62" i="4"/>
  <c r="N62" i="4"/>
  <c r="U62" i="4"/>
  <c r="Y62" i="4"/>
  <c r="Z62" i="4"/>
  <c r="AA62" i="4"/>
  <c r="AB62" i="4"/>
  <c r="AC62" i="4"/>
  <c r="AG62" i="4"/>
  <c r="AQ62" i="4"/>
  <c r="AR62" i="4"/>
  <c r="AT62" i="4"/>
  <c r="AX62" i="4"/>
  <c r="AY62" i="4"/>
  <c r="BA62" i="4"/>
  <c r="BJ62" i="4"/>
  <c r="BX62" i="4"/>
  <c r="CA62" i="4"/>
  <c r="CI62" i="4"/>
  <c r="A63" i="4"/>
  <c r="B63" i="4"/>
  <c r="C63" i="4"/>
  <c r="D63" i="4"/>
  <c r="E63" i="4"/>
  <c r="G63" i="4"/>
  <c r="J63" i="4"/>
  <c r="L63" i="4"/>
  <c r="M63" i="4"/>
  <c r="N63" i="4"/>
  <c r="U63" i="4"/>
  <c r="Y63" i="4"/>
  <c r="Z63" i="4"/>
  <c r="AA63" i="4"/>
  <c r="AB63" i="4"/>
  <c r="AC63" i="4"/>
  <c r="AG63" i="4"/>
  <c r="AQ63" i="4"/>
  <c r="AR63" i="4"/>
  <c r="AT63" i="4"/>
  <c r="AX63" i="4"/>
  <c r="AY63" i="4"/>
  <c r="BA63" i="4"/>
  <c r="BJ63" i="4"/>
  <c r="BX63" i="4"/>
  <c r="CA63" i="4"/>
  <c r="CI63" i="4"/>
  <c r="A64" i="4"/>
  <c r="B64" i="4"/>
  <c r="C64" i="4"/>
  <c r="D64" i="4"/>
  <c r="E64" i="4"/>
  <c r="G64" i="4"/>
  <c r="J64" i="4"/>
  <c r="L64" i="4"/>
  <c r="M64" i="4"/>
  <c r="N64" i="4"/>
  <c r="U64" i="4"/>
  <c r="Y64" i="4"/>
  <c r="Z64" i="4"/>
  <c r="AA64" i="4"/>
  <c r="AB64" i="4"/>
  <c r="AC64" i="4"/>
  <c r="AG64" i="4"/>
  <c r="AQ64" i="4"/>
  <c r="AR64" i="4"/>
  <c r="AT64" i="4"/>
  <c r="AX64" i="4"/>
  <c r="AY64" i="4"/>
  <c r="BA64" i="4"/>
  <c r="BJ64" i="4"/>
  <c r="BX64" i="4"/>
  <c r="CA64" i="4"/>
  <c r="CI64" i="4"/>
  <c r="A65" i="4"/>
  <c r="B65" i="4"/>
  <c r="C65" i="4"/>
  <c r="D65" i="4"/>
  <c r="E65" i="4"/>
  <c r="G65" i="4"/>
  <c r="J65" i="4"/>
  <c r="L65" i="4"/>
  <c r="M65" i="4"/>
  <c r="N65" i="4"/>
  <c r="U65" i="4"/>
  <c r="Y65" i="4"/>
  <c r="Z65" i="4"/>
  <c r="AA65" i="4"/>
  <c r="AB65" i="4"/>
  <c r="AC65" i="4"/>
  <c r="AG65" i="4"/>
  <c r="AQ65" i="4"/>
  <c r="AR65" i="4"/>
  <c r="AT65" i="4"/>
  <c r="AX65" i="4"/>
  <c r="AY65" i="4"/>
  <c r="BA65" i="4"/>
  <c r="BJ65" i="4"/>
  <c r="BX65" i="4"/>
  <c r="CA65" i="4"/>
  <c r="CI65" i="4"/>
  <c r="A66" i="4"/>
  <c r="B66" i="4"/>
  <c r="C66" i="4"/>
  <c r="D66" i="4"/>
  <c r="E66" i="4"/>
  <c r="G66" i="4"/>
  <c r="J66" i="4"/>
  <c r="L66" i="4"/>
  <c r="M66" i="4"/>
  <c r="N66" i="4"/>
  <c r="U66" i="4"/>
  <c r="Y66" i="4"/>
  <c r="Z66" i="4"/>
  <c r="AA66" i="4"/>
  <c r="AB66" i="4"/>
  <c r="AC66" i="4"/>
  <c r="AG66" i="4"/>
  <c r="AQ66" i="4"/>
  <c r="AR66" i="4"/>
  <c r="AT66" i="4"/>
  <c r="AX66" i="4"/>
  <c r="AY66" i="4"/>
  <c r="BA66" i="4"/>
  <c r="BJ66" i="4"/>
  <c r="BX66" i="4"/>
  <c r="CA66" i="4"/>
  <c r="CI66" i="4"/>
  <c r="A67" i="4"/>
  <c r="B67" i="4"/>
  <c r="C67" i="4"/>
  <c r="D67" i="4"/>
  <c r="E67" i="4"/>
  <c r="G67" i="4"/>
  <c r="J67" i="4"/>
  <c r="L67" i="4"/>
  <c r="M67" i="4"/>
  <c r="N67" i="4"/>
  <c r="U67" i="4"/>
  <c r="Y67" i="4"/>
  <c r="Z67" i="4"/>
  <c r="AA67" i="4"/>
  <c r="AB67" i="4"/>
  <c r="AC67" i="4"/>
  <c r="AG67" i="4"/>
  <c r="AQ67" i="4"/>
  <c r="AR67" i="4"/>
  <c r="AT67" i="4"/>
  <c r="AX67" i="4"/>
  <c r="AY67" i="4"/>
  <c r="BA67" i="4"/>
  <c r="BJ67" i="4"/>
  <c r="BX67" i="4"/>
  <c r="CA67" i="4"/>
  <c r="CI67" i="4"/>
  <c r="A68" i="4"/>
  <c r="B68" i="4"/>
  <c r="C68" i="4"/>
  <c r="D68" i="4"/>
  <c r="E68" i="4"/>
  <c r="G68" i="4"/>
  <c r="J68" i="4"/>
  <c r="L68" i="4"/>
  <c r="M68" i="4"/>
  <c r="N68" i="4"/>
  <c r="U68" i="4"/>
  <c r="Y68" i="4"/>
  <c r="Z68" i="4"/>
  <c r="AA68" i="4"/>
  <c r="AB68" i="4"/>
  <c r="AC68" i="4"/>
  <c r="AG68" i="4"/>
  <c r="AQ68" i="4"/>
  <c r="AR68" i="4"/>
  <c r="AT68" i="4"/>
  <c r="AX68" i="4"/>
  <c r="AY68" i="4"/>
  <c r="BA68" i="4"/>
  <c r="BJ68" i="4"/>
  <c r="BX68" i="4"/>
  <c r="CA68" i="4"/>
  <c r="CI68" i="4"/>
  <c r="A69" i="4"/>
  <c r="B69" i="4"/>
  <c r="C69" i="4"/>
  <c r="D69" i="4"/>
  <c r="E69" i="4"/>
  <c r="G69" i="4"/>
  <c r="J69" i="4"/>
  <c r="L69" i="4"/>
  <c r="M69" i="4"/>
  <c r="N69" i="4"/>
  <c r="U69" i="4"/>
  <c r="Y69" i="4"/>
  <c r="Z69" i="4"/>
  <c r="AA69" i="4"/>
  <c r="AB69" i="4"/>
  <c r="AC69" i="4"/>
  <c r="AG69" i="4"/>
  <c r="AQ69" i="4"/>
  <c r="AR69" i="4"/>
  <c r="AT69" i="4"/>
  <c r="AX69" i="4"/>
  <c r="AY69" i="4"/>
  <c r="BA69" i="4"/>
  <c r="BJ69" i="4"/>
  <c r="BX69" i="4"/>
  <c r="CA69" i="4"/>
  <c r="CI69" i="4"/>
  <c r="A70" i="4"/>
  <c r="B70" i="4"/>
  <c r="C70" i="4"/>
  <c r="D70" i="4"/>
  <c r="E70" i="4"/>
  <c r="G70" i="4"/>
  <c r="J70" i="4"/>
  <c r="L70" i="4"/>
  <c r="M70" i="4"/>
  <c r="N70" i="4"/>
  <c r="U70" i="4"/>
  <c r="Y70" i="4"/>
  <c r="Z70" i="4"/>
  <c r="AA70" i="4"/>
  <c r="AB70" i="4"/>
  <c r="AC70" i="4"/>
  <c r="AG70" i="4"/>
  <c r="AQ70" i="4"/>
  <c r="AR70" i="4"/>
  <c r="AT70" i="4"/>
  <c r="AX70" i="4"/>
  <c r="AY70" i="4"/>
  <c r="BA70" i="4"/>
  <c r="BJ70" i="4"/>
  <c r="BX70" i="4"/>
  <c r="CA70" i="4"/>
  <c r="CI70" i="4"/>
  <c r="A71" i="4"/>
  <c r="B71" i="4"/>
  <c r="C71" i="4"/>
  <c r="D71" i="4"/>
  <c r="E71" i="4"/>
  <c r="G71" i="4"/>
  <c r="J71" i="4"/>
  <c r="L71" i="4"/>
  <c r="M71" i="4"/>
  <c r="N71" i="4"/>
  <c r="U71" i="4"/>
  <c r="Y71" i="4"/>
  <c r="Z71" i="4"/>
  <c r="AA71" i="4"/>
  <c r="AB71" i="4"/>
  <c r="AC71" i="4"/>
  <c r="AG71" i="4"/>
  <c r="AQ71" i="4"/>
  <c r="AR71" i="4"/>
  <c r="AT71" i="4"/>
  <c r="AX71" i="4"/>
  <c r="AY71" i="4"/>
  <c r="BA71" i="4"/>
  <c r="BJ71" i="4"/>
  <c r="BX71" i="4"/>
  <c r="CA71" i="4"/>
  <c r="CI71" i="4"/>
  <c r="A72" i="4"/>
  <c r="B72" i="4"/>
  <c r="C72" i="4"/>
  <c r="D72" i="4"/>
  <c r="E72" i="4"/>
  <c r="G72" i="4"/>
  <c r="J72" i="4"/>
  <c r="L72" i="4"/>
  <c r="M72" i="4"/>
  <c r="N72" i="4"/>
  <c r="U72" i="4"/>
  <c r="Y72" i="4"/>
  <c r="Z72" i="4"/>
  <c r="AA72" i="4"/>
  <c r="AB72" i="4"/>
  <c r="AC72" i="4"/>
  <c r="AG72" i="4"/>
  <c r="AQ72" i="4"/>
  <c r="AR72" i="4"/>
  <c r="AT72" i="4"/>
  <c r="AX72" i="4"/>
  <c r="AY72" i="4"/>
  <c r="BA72" i="4"/>
  <c r="BJ72" i="4"/>
  <c r="BX72" i="4"/>
  <c r="CA72" i="4"/>
  <c r="CI72" i="4"/>
  <c r="A73" i="4"/>
  <c r="B73" i="4"/>
  <c r="C73" i="4"/>
  <c r="D73" i="4"/>
  <c r="E73" i="4"/>
  <c r="G73" i="4"/>
  <c r="J73" i="4"/>
  <c r="L73" i="4"/>
  <c r="M73" i="4"/>
  <c r="N73" i="4"/>
  <c r="U73" i="4"/>
  <c r="Y73" i="4"/>
  <c r="Z73" i="4"/>
  <c r="AA73" i="4"/>
  <c r="AB73" i="4"/>
  <c r="AC73" i="4"/>
  <c r="AG73" i="4"/>
  <c r="AQ73" i="4"/>
  <c r="AR73" i="4"/>
  <c r="AT73" i="4"/>
  <c r="AX73" i="4"/>
  <c r="AY73" i="4"/>
  <c r="BA73" i="4"/>
  <c r="BJ73" i="4"/>
  <c r="BX73" i="4"/>
  <c r="CA73" i="4"/>
  <c r="CI73" i="4"/>
  <c r="A74" i="4"/>
  <c r="B74" i="4"/>
  <c r="C74" i="4"/>
  <c r="D74" i="4"/>
  <c r="E74" i="4"/>
  <c r="G74" i="4"/>
  <c r="J74" i="4"/>
  <c r="L74" i="4"/>
  <c r="M74" i="4"/>
  <c r="N74" i="4"/>
  <c r="U74" i="4"/>
  <c r="Y74" i="4"/>
  <c r="Z74" i="4"/>
  <c r="AA74" i="4"/>
  <c r="AB74" i="4"/>
  <c r="AC74" i="4"/>
  <c r="AG74" i="4"/>
  <c r="AQ74" i="4"/>
  <c r="AR74" i="4"/>
  <c r="AT74" i="4"/>
  <c r="AX74" i="4"/>
  <c r="AY74" i="4"/>
  <c r="BA74" i="4"/>
  <c r="BJ74" i="4"/>
  <c r="BX74" i="4"/>
  <c r="CA74" i="4"/>
  <c r="CI74" i="4"/>
  <c r="A75" i="4"/>
  <c r="B75" i="4"/>
  <c r="C75" i="4"/>
  <c r="D75" i="4"/>
  <c r="E75" i="4"/>
  <c r="G75" i="4"/>
  <c r="J75" i="4"/>
  <c r="L75" i="4"/>
  <c r="M75" i="4"/>
  <c r="N75" i="4"/>
  <c r="U75" i="4"/>
  <c r="Y75" i="4"/>
  <c r="Z75" i="4"/>
  <c r="AA75" i="4"/>
  <c r="AB75" i="4"/>
  <c r="AC75" i="4"/>
  <c r="AG75" i="4"/>
  <c r="AQ75" i="4"/>
  <c r="AR75" i="4"/>
  <c r="AT75" i="4"/>
  <c r="AX75" i="4"/>
  <c r="AY75" i="4"/>
  <c r="BA75" i="4"/>
  <c r="BJ75" i="4"/>
  <c r="BX75" i="4"/>
  <c r="CA75" i="4"/>
  <c r="CI75" i="4"/>
  <c r="A76" i="4"/>
  <c r="B76" i="4"/>
  <c r="C76" i="4"/>
  <c r="D76" i="4"/>
  <c r="E76" i="4"/>
  <c r="G76" i="4"/>
  <c r="J76" i="4"/>
  <c r="L76" i="4"/>
  <c r="M76" i="4"/>
  <c r="N76" i="4"/>
  <c r="U76" i="4"/>
  <c r="Y76" i="4"/>
  <c r="Z76" i="4"/>
  <c r="AA76" i="4"/>
  <c r="AB76" i="4"/>
  <c r="AC76" i="4"/>
  <c r="AG76" i="4"/>
  <c r="AQ76" i="4"/>
  <c r="AR76" i="4"/>
  <c r="AT76" i="4"/>
  <c r="AX76" i="4"/>
  <c r="AY76" i="4"/>
  <c r="BA76" i="4"/>
  <c r="BJ76" i="4"/>
  <c r="BX76" i="4"/>
  <c r="CA76" i="4"/>
  <c r="CI76" i="4"/>
  <c r="A77" i="4"/>
  <c r="B77" i="4"/>
  <c r="C77" i="4"/>
  <c r="D77" i="4"/>
  <c r="E77" i="4"/>
  <c r="G77" i="4"/>
  <c r="J77" i="4"/>
  <c r="L77" i="4"/>
  <c r="M77" i="4"/>
  <c r="N77" i="4"/>
  <c r="U77" i="4"/>
  <c r="Y77" i="4"/>
  <c r="Z77" i="4"/>
  <c r="AA77" i="4"/>
  <c r="AB77" i="4"/>
  <c r="AC77" i="4"/>
  <c r="AG77" i="4"/>
  <c r="AQ77" i="4"/>
  <c r="AR77" i="4"/>
  <c r="AT77" i="4"/>
  <c r="AX77" i="4"/>
  <c r="AY77" i="4"/>
  <c r="BA77" i="4"/>
  <c r="BJ77" i="4"/>
  <c r="BX77" i="4"/>
  <c r="CA77" i="4"/>
  <c r="CI77" i="4"/>
  <c r="A78" i="4"/>
  <c r="B78" i="4"/>
  <c r="C78" i="4"/>
  <c r="D78" i="4"/>
  <c r="E78" i="4"/>
  <c r="G78" i="4"/>
  <c r="J78" i="4"/>
  <c r="L78" i="4"/>
  <c r="M78" i="4"/>
  <c r="N78" i="4"/>
  <c r="U78" i="4"/>
  <c r="Y78" i="4"/>
  <c r="Z78" i="4"/>
  <c r="AA78" i="4"/>
  <c r="AB78" i="4"/>
  <c r="AC78" i="4"/>
  <c r="AG78" i="4"/>
  <c r="AQ78" i="4"/>
  <c r="AR78" i="4"/>
  <c r="AT78" i="4"/>
  <c r="AX78" i="4"/>
  <c r="AY78" i="4"/>
  <c r="BA78" i="4"/>
  <c r="BJ78" i="4"/>
  <c r="BX78" i="4"/>
  <c r="CA78" i="4"/>
  <c r="CI78" i="4"/>
  <c r="A79" i="4"/>
  <c r="B79" i="4"/>
  <c r="C79" i="4"/>
  <c r="D79" i="4"/>
  <c r="E79" i="4"/>
  <c r="G79" i="4"/>
  <c r="J79" i="4"/>
  <c r="L79" i="4"/>
  <c r="M79" i="4"/>
  <c r="N79" i="4"/>
  <c r="U79" i="4"/>
  <c r="Y79" i="4"/>
  <c r="Z79" i="4"/>
  <c r="AA79" i="4"/>
  <c r="AB79" i="4"/>
  <c r="AC79" i="4"/>
  <c r="AG79" i="4"/>
  <c r="AQ79" i="4"/>
  <c r="AR79" i="4"/>
  <c r="AT79" i="4"/>
  <c r="AX79" i="4"/>
  <c r="AY79" i="4"/>
  <c r="BA79" i="4"/>
  <c r="BJ79" i="4"/>
  <c r="BX79" i="4"/>
  <c r="CA79" i="4"/>
  <c r="CI79" i="4"/>
  <c r="A80" i="4"/>
  <c r="B80" i="4"/>
  <c r="C80" i="4"/>
  <c r="D80" i="4"/>
  <c r="E80" i="4"/>
  <c r="G80" i="4"/>
  <c r="J80" i="4"/>
  <c r="L80" i="4"/>
  <c r="M80" i="4"/>
  <c r="N80" i="4"/>
  <c r="U80" i="4"/>
  <c r="Y80" i="4"/>
  <c r="Z80" i="4"/>
  <c r="AA80" i="4"/>
  <c r="AB80" i="4"/>
  <c r="AC80" i="4"/>
  <c r="AG80" i="4"/>
  <c r="AQ80" i="4"/>
  <c r="AR80" i="4"/>
  <c r="AT80" i="4"/>
  <c r="AX80" i="4"/>
  <c r="AY80" i="4"/>
  <c r="BA80" i="4"/>
  <c r="BJ80" i="4"/>
  <c r="BX80" i="4"/>
  <c r="CA80" i="4"/>
  <c r="CI80" i="4"/>
  <c r="A81" i="4"/>
  <c r="B81" i="4"/>
  <c r="C81" i="4"/>
  <c r="D81" i="4"/>
  <c r="E81" i="4"/>
  <c r="G81" i="4"/>
  <c r="J81" i="4"/>
  <c r="L81" i="4"/>
  <c r="M81" i="4"/>
  <c r="N81" i="4"/>
  <c r="U81" i="4"/>
  <c r="Y81" i="4"/>
  <c r="Z81" i="4"/>
  <c r="AA81" i="4"/>
  <c r="AB81" i="4"/>
  <c r="AC81" i="4"/>
  <c r="AG81" i="4"/>
  <c r="AQ81" i="4"/>
  <c r="AR81" i="4"/>
  <c r="AT81" i="4"/>
  <c r="AX81" i="4"/>
  <c r="AY81" i="4"/>
  <c r="BA81" i="4"/>
  <c r="BJ81" i="4"/>
  <c r="BX81" i="4"/>
  <c r="CA81" i="4"/>
  <c r="CI81" i="4"/>
  <c r="A82" i="4"/>
  <c r="B82" i="4"/>
  <c r="C82" i="4"/>
  <c r="D82" i="4"/>
  <c r="E82" i="4"/>
  <c r="G82" i="4"/>
  <c r="J82" i="4"/>
  <c r="L82" i="4"/>
  <c r="M82" i="4"/>
  <c r="N82" i="4"/>
  <c r="U82" i="4"/>
  <c r="Y82" i="4"/>
  <c r="Z82" i="4"/>
  <c r="AA82" i="4"/>
  <c r="AB82" i="4"/>
  <c r="AC82" i="4"/>
  <c r="AG82" i="4"/>
  <c r="AQ82" i="4"/>
  <c r="AR82" i="4"/>
  <c r="AT82" i="4"/>
  <c r="AX82" i="4"/>
  <c r="AY82" i="4"/>
  <c r="BA82" i="4"/>
  <c r="BJ82" i="4"/>
  <c r="BX82" i="4"/>
  <c r="CA82" i="4"/>
  <c r="CI82" i="4"/>
  <c r="A83" i="4"/>
  <c r="B83" i="4"/>
  <c r="C83" i="4"/>
  <c r="D83" i="4"/>
  <c r="E83" i="4"/>
  <c r="G83" i="4"/>
  <c r="J83" i="4"/>
  <c r="L83" i="4"/>
  <c r="M83" i="4"/>
  <c r="N83" i="4"/>
  <c r="U83" i="4"/>
  <c r="Y83" i="4"/>
  <c r="Z83" i="4"/>
  <c r="AA83" i="4"/>
  <c r="AB83" i="4"/>
  <c r="AC83" i="4"/>
  <c r="AG83" i="4"/>
  <c r="AQ83" i="4"/>
  <c r="AR83" i="4"/>
  <c r="AT83" i="4"/>
  <c r="AX83" i="4"/>
  <c r="AY83" i="4"/>
  <c r="BA83" i="4"/>
  <c r="BJ83" i="4"/>
  <c r="BX83" i="4"/>
  <c r="CA83" i="4"/>
  <c r="CI83" i="4"/>
  <c r="A84" i="4"/>
  <c r="B84" i="4"/>
  <c r="C84" i="4"/>
  <c r="D84" i="4"/>
  <c r="E84" i="4"/>
  <c r="G84" i="4"/>
  <c r="J84" i="4"/>
  <c r="L84" i="4"/>
  <c r="M84" i="4"/>
  <c r="N84" i="4"/>
  <c r="U84" i="4"/>
  <c r="Y84" i="4"/>
  <c r="Z84" i="4"/>
  <c r="AA84" i="4"/>
  <c r="AB84" i="4"/>
  <c r="AC84" i="4"/>
  <c r="AG84" i="4"/>
  <c r="AQ84" i="4"/>
  <c r="AR84" i="4"/>
  <c r="AT84" i="4"/>
  <c r="AX84" i="4"/>
  <c r="AY84" i="4"/>
  <c r="BA84" i="4"/>
  <c r="BJ84" i="4"/>
  <c r="BX84" i="4"/>
  <c r="CA84" i="4"/>
  <c r="CI84" i="4"/>
  <c r="A85" i="4"/>
  <c r="B85" i="4"/>
  <c r="C85" i="4"/>
  <c r="D85" i="4"/>
  <c r="E85" i="4"/>
  <c r="G85" i="4"/>
  <c r="J85" i="4"/>
  <c r="L85" i="4"/>
  <c r="M85" i="4"/>
  <c r="N85" i="4"/>
  <c r="U85" i="4"/>
  <c r="Y85" i="4"/>
  <c r="Z85" i="4"/>
  <c r="AA85" i="4"/>
  <c r="AB85" i="4"/>
  <c r="AC85" i="4"/>
  <c r="AG85" i="4"/>
  <c r="AQ85" i="4"/>
  <c r="AR85" i="4"/>
  <c r="AT85" i="4"/>
  <c r="AX85" i="4"/>
  <c r="AY85" i="4"/>
  <c r="BA85" i="4"/>
  <c r="BJ85" i="4"/>
  <c r="BX85" i="4"/>
  <c r="CA85" i="4"/>
  <c r="CI85" i="4"/>
  <c r="A86" i="4"/>
  <c r="B86" i="4"/>
  <c r="C86" i="4"/>
  <c r="D86" i="4"/>
  <c r="E86" i="4"/>
  <c r="G86" i="4"/>
  <c r="J86" i="4"/>
  <c r="L86" i="4"/>
  <c r="M86" i="4"/>
  <c r="N86" i="4"/>
  <c r="U86" i="4"/>
  <c r="Y86" i="4"/>
  <c r="Z86" i="4"/>
  <c r="AA86" i="4"/>
  <c r="AB86" i="4"/>
  <c r="AC86" i="4"/>
  <c r="AG86" i="4"/>
  <c r="AQ86" i="4"/>
  <c r="AR86" i="4"/>
  <c r="AT86" i="4"/>
  <c r="AX86" i="4"/>
  <c r="AY86" i="4"/>
  <c r="BA86" i="4"/>
  <c r="BJ86" i="4"/>
  <c r="BX86" i="4"/>
  <c r="CA86" i="4"/>
  <c r="CI86" i="4"/>
  <c r="A87" i="4"/>
  <c r="B87" i="4"/>
  <c r="C87" i="4"/>
  <c r="D87" i="4"/>
  <c r="E87" i="4"/>
  <c r="G87" i="4"/>
  <c r="J87" i="4"/>
  <c r="L87" i="4"/>
  <c r="M87" i="4"/>
  <c r="N87" i="4"/>
  <c r="U87" i="4"/>
  <c r="Y87" i="4"/>
  <c r="Z87" i="4"/>
  <c r="AA87" i="4"/>
  <c r="AB87" i="4"/>
  <c r="AC87" i="4"/>
  <c r="AG87" i="4"/>
  <c r="AQ87" i="4"/>
  <c r="AR87" i="4"/>
  <c r="AT87" i="4"/>
  <c r="AX87" i="4"/>
  <c r="AY87" i="4"/>
  <c r="BA87" i="4"/>
  <c r="BJ87" i="4"/>
  <c r="BX87" i="4"/>
  <c r="CA87" i="4"/>
  <c r="CI87" i="4"/>
  <c r="A88" i="4"/>
  <c r="B88" i="4"/>
  <c r="C88" i="4"/>
  <c r="D88" i="4"/>
  <c r="E88" i="4"/>
  <c r="G88" i="4"/>
  <c r="J88" i="4"/>
  <c r="L88" i="4"/>
  <c r="M88" i="4"/>
  <c r="N88" i="4"/>
  <c r="U88" i="4"/>
  <c r="Y88" i="4"/>
  <c r="Z88" i="4"/>
  <c r="AA88" i="4"/>
  <c r="AB88" i="4"/>
  <c r="AC88" i="4"/>
  <c r="AG88" i="4"/>
  <c r="AQ88" i="4"/>
  <c r="AR88" i="4"/>
  <c r="AT88" i="4"/>
  <c r="AX88" i="4"/>
  <c r="AY88" i="4"/>
  <c r="BA88" i="4"/>
  <c r="BJ88" i="4"/>
  <c r="BX88" i="4"/>
  <c r="CA88" i="4"/>
  <c r="CI88" i="4"/>
  <c r="A89" i="4"/>
  <c r="B89" i="4"/>
  <c r="C89" i="4"/>
  <c r="D89" i="4"/>
  <c r="E89" i="4"/>
  <c r="G89" i="4"/>
  <c r="J89" i="4"/>
  <c r="L89" i="4"/>
  <c r="M89" i="4"/>
  <c r="N89" i="4"/>
  <c r="U89" i="4"/>
  <c r="Y89" i="4"/>
  <c r="Z89" i="4"/>
  <c r="AA89" i="4"/>
  <c r="AB89" i="4"/>
  <c r="AC89" i="4"/>
  <c r="AG89" i="4"/>
  <c r="AQ89" i="4"/>
  <c r="AR89" i="4"/>
  <c r="AT89" i="4"/>
  <c r="AX89" i="4"/>
  <c r="AY89" i="4"/>
  <c r="BA89" i="4"/>
  <c r="BJ89" i="4"/>
  <c r="BX89" i="4"/>
  <c r="CA89" i="4"/>
  <c r="CI89" i="4"/>
  <c r="A90" i="4"/>
  <c r="B90" i="4"/>
  <c r="C90" i="4"/>
  <c r="D90" i="4"/>
  <c r="E90" i="4"/>
  <c r="G90" i="4"/>
  <c r="J90" i="4"/>
  <c r="L90" i="4"/>
  <c r="M90" i="4"/>
  <c r="N90" i="4"/>
  <c r="U90" i="4"/>
  <c r="Y90" i="4"/>
  <c r="Z90" i="4"/>
  <c r="AA90" i="4"/>
  <c r="AB90" i="4"/>
  <c r="AC90" i="4"/>
  <c r="AG90" i="4"/>
  <c r="AQ90" i="4"/>
  <c r="AR90" i="4"/>
  <c r="AT90" i="4"/>
  <c r="AX90" i="4"/>
  <c r="AY90" i="4"/>
  <c r="BA90" i="4"/>
  <c r="BJ90" i="4"/>
  <c r="BX90" i="4"/>
  <c r="CA90" i="4"/>
  <c r="CI90" i="4"/>
  <c r="A91" i="4"/>
  <c r="B91" i="4"/>
  <c r="C91" i="4"/>
  <c r="D91" i="4"/>
  <c r="E91" i="4"/>
  <c r="G91" i="4"/>
  <c r="J91" i="4"/>
  <c r="L91" i="4"/>
  <c r="M91" i="4"/>
  <c r="N91" i="4"/>
  <c r="U91" i="4"/>
  <c r="Y91" i="4"/>
  <c r="Z91" i="4"/>
  <c r="AA91" i="4"/>
  <c r="AB91" i="4"/>
  <c r="AC91" i="4"/>
  <c r="AG91" i="4"/>
  <c r="AQ91" i="4"/>
  <c r="AR91" i="4"/>
  <c r="AT91" i="4"/>
  <c r="AX91" i="4"/>
  <c r="AY91" i="4"/>
  <c r="BA91" i="4"/>
  <c r="BJ91" i="4"/>
  <c r="BX91" i="4"/>
  <c r="CA91" i="4"/>
  <c r="CI91" i="4"/>
  <c r="A92" i="4"/>
  <c r="B92" i="4"/>
  <c r="C92" i="4"/>
  <c r="D92" i="4"/>
  <c r="E92" i="4"/>
  <c r="G92" i="4"/>
  <c r="J92" i="4"/>
  <c r="L92" i="4"/>
  <c r="M92" i="4"/>
  <c r="N92" i="4"/>
  <c r="U92" i="4"/>
  <c r="Y92" i="4"/>
  <c r="Z92" i="4"/>
  <c r="AA92" i="4"/>
  <c r="AB92" i="4"/>
  <c r="AC92" i="4"/>
  <c r="AG92" i="4"/>
  <c r="AQ92" i="4"/>
  <c r="AR92" i="4"/>
  <c r="AT92" i="4"/>
  <c r="AX92" i="4"/>
  <c r="AY92" i="4"/>
  <c r="BA92" i="4"/>
  <c r="BJ92" i="4"/>
  <c r="BX92" i="4"/>
  <c r="CA92" i="4"/>
  <c r="CI92" i="4"/>
  <c r="A93" i="4"/>
  <c r="B93" i="4"/>
  <c r="C93" i="4"/>
  <c r="D93" i="4"/>
  <c r="E93" i="4"/>
  <c r="G93" i="4"/>
  <c r="J93" i="4"/>
  <c r="L93" i="4"/>
  <c r="M93" i="4"/>
  <c r="N93" i="4"/>
  <c r="U93" i="4"/>
  <c r="Y93" i="4"/>
  <c r="Z93" i="4"/>
  <c r="AA93" i="4"/>
  <c r="AB93" i="4"/>
  <c r="AC93" i="4"/>
  <c r="AG93" i="4"/>
  <c r="AQ93" i="4"/>
  <c r="AR93" i="4"/>
  <c r="AT93" i="4"/>
  <c r="AX93" i="4"/>
  <c r="AY93" i="4"/>
  <c r="BA93" i="4"/>
  <c r="BJ93" i="4"/>
  <c r="BX93" i="4"/>
  <c r="CA93" i="4"/>
  <c r="CI93" i="4"/>
  <c r="A94" i="4"/>
  <c r="B94" i="4"/>
  <c r="C94" i="4"/>
  <c r="D94" i="4"/>
  <c r="E94" i="4"/>
  <c r="G94" i="4"/>
  <c r="J94" i="4"/>
  <c r="L94" i="4"/>
  <c r="M94" i="4"/>
  <c r="N94" i="4"/>
  <c r="U94" i="4"/>
  <c r="Y94" i="4"/>
  <c r="Z94" i="4"/>
  <c r="AA94" i="4"/>
  <c r="AB94" i="4"/>
  <c r="AC94" i="4"/>
  <c r="AG94" i="4"/>
  <c r="AQ94" i="4"/>
  <c r="AR94" i="4"/>
  <c r="AT94" i="4"/>
  <c r="AX94" i="4"/>
  <c r="AY94" i="4"/>
  <c r="BA94" i="4"/>
  <c r="BJ94" i="4"/>
  <c r="BX94" i="4"/>
  <c r="CA94" i="4"/>
  <c r="CI94" i="4"/>
  <c r="A95" i="4"/>
  <c r="B95" i="4"/>
  <c r="C95" i="4"/>
  <c r="D95" i="4"/>
  <c r="E95" i="4"/>
  <c r="G95" i="4"/>
  <c r="J95" i="4"/>
  <c r="L95" i="4"/>
  <c r="M95" i="4"/>
  <c r="N95" i="4"/>
  <c r="U95" i="4"/>
  <c r="Y95" i="4"/>
  <c r="Z95" i="4"/>
  <c r="AA95" i="4"/>
  <c r="AB95" i="4"/>
  <c r="AC95" i="4"/>
  <c r="AG95" i="4"/>
  <c r="AQ95" i="4"/>
  <c r="AR95" i="4"/>
  <c r="AT95" i="4"/>
  <c r="AX95" i="4"/>
  <c r="AY95" i="4"/>
  <c r="BA95" i="4"/>
  <c r="BJ95" i="4"/>
  <c r="BX95" i="4"/>
  <c r="CA95" i="4"/>
  <c r="CI95" i="4"/>
  <c r="A96" i="4"/>
  <c r="B96" i="4"/>
  <c r="C96" i="4"/>
  <c r="D96" i="4"/>
  <c r="E96" i="4"/>
  <c r="G96" i="4"/>
  <c r="J96" i="4"/>
  <c r="L96" i="4"/>
  <c r="M96" i="4"/>
  <c r="N96" i="4"/>
  <c r="U96" i="4"/>
  <c r="Y96" i="4"/>
  <c r="Z96" i="4"/>
  <c r="AA96" i="4"/>
  <c r="AB96" i="4"/>
  <c r="AC96" i="4"/>
  <c r="AG96" i="4"/>
  <c r="AQ96" i="4"/>
  <c r="AR96" i="4"/>
  <c r="AT96" i="4"/>
  <c r="AX96" i="4"/>
  <c r="AY96" i="4"/>
  <c r="BA96" i="4"/>
  <c r="BJ96" i="4"/>
  <c r="BX96" i="4"/>
  <c r="CA96" i="4"/>
  <c r="CI96" i="4"/>
  <c r="A97" i="4"/>
  <c r="B97" i="4"/>
  <c r="C97" i="4"/>
  <c r="D97" i="4"/>
  <c r="E97" i="4"/>
  <c r="G97" i="4"/>
  <c r="J97" i="4"/>
  <c r="L97" i="4"/>
  <c r="M97" i="4"/>
  <c r="N97" i="4"/>
  <c r="U97" i="4"/>
  <c r="Y97" i="4"/>
  <c r="Z97" i="4"/>
  <c r="AA97" i="4"/>
  <c r="AB97" i="4"/>
  <c r="AC97" i="4"/>
  <c r="AG97" i="4"/>
  <c r="AQ97" i="4"/>
  <c r="AR97" i="4"/>
  <c r="AT97" i="4"/>
  <c r="AX97" i="4"/>
  <c r="AY97" i="4"/>
  <c r="BA97" i="4"/>
  <c r="BJ97" i="4"/>
  <c r="BX97" i="4"/>
  <c r="CA97" i="4"/>
  <c r="CI97" i="4"/>
  <c r="A98" i="4"/>
  <c r="B98" i="4"/>
  <c r="C98" i="4"/>
  <c r="D98" i="4"/>
  <c r="E98" i="4"/>
  <c r="G98" i="4"/>
  <c r="J98" i="4"/>
  <c r="L98" i="4"/>
  <c r="M98" i="4"/>
  <c r="N98" i="4"/>
  <c r="U98" i="4"/>
  <c r="Y98" i="4"/>
  <c r="Z98" i="4"/>
  <c r="AA98" i="4"/>
  <c r="AB98" i="4"/>
  <c r="AC98" i="4"/>
  <c r="AG98" i="4"/>
  <c r="AQ98" i="4"/>
  <c r="AR98" i="4"/>
  <c r="AT98" i="4"/>
  <c r="AX98" i="4"/>
  <c r="AY98" i="4"/>
  <c r="BA98" i="4"/>
  <c r="BJ98" i="4"/>
  <c r="BX98" i="4"/>
  <c r="CA98" i="4"/>
  <c r="CI98" i="4"/>
  <c r="A99" i="4"/>
  <c r="B99" i="4"/>
  <c r="C99" i="4"/>
  <c r="D99" i="4"/>
  <c r="E99" i="4"/>
  <c r="G99" i="4"/>
  <c r="J99" i="4"/>
  <c r="L99" i="4"/>
  <c r="M99" i="4"/>
  <c r="N99" i="4"/>
  <c r="U99" i="4"/>
  <c r="Y99" i="4"/>
  <c r="Z99" i="4"/>
  <c r="AA99" i="4"/>
  <c r="AB99" i="4"/>
  <c r="AC99" i="4"/>
  <c r="AG99" i="4"/>
  <c r="AQ99" i="4"/>
  <c r="AR99" i="4"/>
  <c r="AT99" i="4"/>
  <c r="AX99" i="4"/>
  <c r="AY99" i="4"/>
  <c r="BA99" i="4"/>
  <c r="BJ99" i="4"/>
  <c r="BX99" i="4"/>
  <c r="CA99" i="4"/>
  <c r="CI99" i="4"/>
  <c r="A100" i="4"/>
  <c r="B100" i="4"/>
  <c r="C100" i="4"/>
  <c r="D100" i="4"/>
  <c r="E100" i="4"/>
  <c r="G100" i="4"/>
  <c r="J100" i="4"/>
  <c r="L100" i="4"/>
  <c r="M100" i="4"/>
  <c r="N100" i="4"/>
  <c r="U100" i="4"/>
  <c r="Y100" i="4"/>
  <c r="Z100" i="4"/>
  <c r="AA100" i="4"/>
  <c r="AB100" i="4"/>
  <c r="AC100" i="4"/>
  <c r="AG100" i="4"/>
  <c r="AQ100" i="4"/>
  <c r="AR100" i="4"/>
  <c r="AT100" i="4"/>
  <c r="AX100" i="4"/>
  <c r="AY100" i="4"/>
  <c r="BA100" i="4"/>
  <c r="BJ100" i="4"/>
  <c r="BX100" i="4"/>
  <c r="CA100" i="4"/>
  <c r="CI100" i="4"/>
  <c r="A101" i="4"/>
  <c r="B101" i="4"/>
  <c r="C101" i="4"/>
  <c r="D101" i="4"/>
  <c r="E101" i="4"/>
  <c r="G101" i="4"/>
  <c r="J101" i="4"/>
  <c r="L101" i="4"/>
  <c r="M101" i="4"/>
  <c r="N101" i="4"/>
  <c r="U101" i="4"/>
  <c r="Y101" i="4"/>
  <c r="Z101" i="4"/>
  <c r="AA101" i="4"/>
  <c r="AB101" i="4"/>
  <c r="AC101" i="4"/>
  <c r="AG101" i="4"/>
  <c r="AQ101" i="4"/>
  <c r="AR101" i="4"/>
  <c r="AT101" i="4"/>
  <c r="AX101" i="4"/>
  <c r="AY101" i="4"/>
  <c r="BA101" i="4"/>
  <c r="BJ101" i="4"/>
  <c r="BX101" i="4"/>
  <c r="CA101" i="4"/>
  <c r="CI101" i="4"/>
  <c r="A102" i="4"/>
  <c r="B102" i="4"/>
  <c r="C102" i="4"/>
  <c r="D102" i="4"/>
  <c r="E102" i="4"/>
  <c r="G102" i="4"/>
  <c r="J102" i="4"/>
  <c r="L102" i="4"/>
  <c r="M102" i="4"/>
  <c r="N102" i="4"/>
  <c r="U102" i="4"/>
  <c r="Y102" i="4"/>
  <c r="Z102" i="4"/>
  <c r="AA102" i="4"/>
  <c r="AB102" i="4"/>
  <c r="AC102" i="4"/>
  <c r="AG102" i="4"/>
  <c r="AQ102" i="4"/>
  <c r="AR102" i="4"/>
  <c r="AT102" i="4"/>
  <c r="AX102" i="4"/>
  <c r="AY102" i="4"/>
  <c r="BA102" i="4"/>
  <c r="BJ102" i="4"/>
  <c r="BX102" i="4"/>
  <c r="CA102" i="4"/>
  <c r="CI102" i="4"/>
  <c r="A103" i="4"/>
  <c r="B103" i="4"/>
  <c r="C103" i="4"/>
  <c r="D103" i="4"/>
  <c r="E103" i="4"/>
  <c r="G103" i="4"/>
  <c r="J103" i="4"/>
  <c r="L103" i="4"/>
  <c r="M103" i="4"/>
  <c r="N103" i="4"/>
  <c r="U103" i="4"/>
  <c r="Y103" i="4"/>
  <c r="Z103" i="4"/>
  <c r="AA103" i="4"/>
  <c r="AB103" i="4"/>
  <c r="AC103" i="4"/>
  <c r="AG103" i="4"/>
  <c r="AQ103" i="4"/>
  <c r="AR103" i="4"/>
  <c r="AT103" i="4"/>
  <c r="AX103" i="4"/>
  <c r="AY103" i="4"/>
  <c r="BA103" i="4"/>
  <c r="BJ103" i="4"/>
  <c r="BX103" i="4"/>
  <c r="CA103" i="4"/>
  <c r="CI103" i="4"/>
  <c r="A104" i="4"/>
  <c r="B104" i="4"/>
  <c r="C104" i="4"/>
  <c r="D104" i="4"/>
  <c r="E104" i="4"/>
  <c r="G104" i="4"/>
  <c r="J104" i="4"/>
  <c r="L104" i="4"/>
  <c r="M104" i="4"/>
  <c r="N104" i="4"/>
  <c r="U104" i="4"/>
  <c r="Y104" i="4"/>
  <c r="Z104" i="4"/>
  <c r="AA104" i="4"/>
  <c r="AB104" i="4"/>
  <c r="AC104" i="4"/>
  <c r="AG104" i="4"/>
  <c r="AQ104" i="4"/>
  <c r="AR104" i="4"/>
  <c r="AT104" i="4"/>
  <c r="AX104" i="4"/>
  <c r="AY104" i="4"/>
  <c r="BA104" i="4"/>
  <c r="BJ104" i="4"/>
  <c r="BX104" i="4"/>
  <c r="CA104" i="4"/>
  <c r="CI104" i="4"/>
  <c r="A105" i="4"/>
  <c r="B105" i="4"/>
  <c r="C105" i="4"/>
  <c r="D105" i="4"/>
  <c r="E105" i="4"/>
  <c r="G105" i="4"/>
  <c r="J105" i="4"/>
  <c r="L105" i="4"/>
  <c r="M105" i="4"/>
  <c r="N105" i="4"/>
  <c r="U105" i="4"/>
  <c r="Y105" i="4"/>
  <c r="Z105" i="4"/>
  <c r="AA105" i="4"/>
  <c r="AB105" i="4"/>
  <c r="AC105" i="4"/>
  <c r="AG105" i="4"/>
  <c r="AQ105" i="4"/>
  <c r="AR105" i="4"/>
  <c r="AT105" i="4"/>
  <c r="AX105" i="4"/>
  <c r="AY105" i="4"/>
  <c r="BA105" i="4"/>
  <c r="BJ105" i="4"/>
  <c r="BX105" i="4"/>
  <c r="CA105" i="4"/>
  <c r="CI105" i="4"/>
  <c r="A106" i="4"/>
  <c r="B106" i="4"/>
  <c r="C106" i="4"/>
  <c r="D106" i="4"/>
  <c r="E106" i="4"/>
  <c r="G106" i="4"/>
  <c r="J106" i="4"/>
  <c r="L106" i="4"/>
  <c r="M106" i="4"/>
  <c r="N106" i="4"/>
  <c r="U106" i="4"/>
  <c r="Y106" i="4"/>
  <c r="Z106" i="4"/>
  <c r="AA106" i="4"/>
  <c r="AB106" i="4"/>
  <c r="AC106" i="4"/>
  <c r="AG106" i="4"/>
  <c r="AQ106" i="4"/>
  <c r="AR106" i="4"/>
  <c r="AT106" i="4"/>
  <c r="AX106" i="4"/>
  <c r="AY106" i="4"/>
  <c r="BA106" i="4"/>
  <c r="BJ106" i="4"/>
  <c r="BX106" i="4"/>
  <c r="CA106" i="4"/>
  <c r="CI106" i="4"/>
  <c r="A107" i="4"/>
  <c r="B107" i="4"/>
  <c r="C107" i="4"/>
  <c r="D107" i="4"/>
  <c r="E107" i="4"/>
  <c r="G107" i="4"/>
  <c r="J107" i="4"/>
  <c r="L107" i="4"/>
  <c r="M107" i="4"/>
  <c r="N107" i="4"/>
  <c r="U107" i="4"/>
  <c r="Y107" i="4"/>
  <c r="Z107" i="4"/>
  <c r="AA107" i="4"/>
  <c r="AB107" i="4"/>
  <c r="AC107" i="4"/>
  <c r="AG107" i="4"/>
  <c r="AQ107" i="4"/>
  <c r="AR107" i="4"/>
  <c r="AT107" i="4"/>
  <c r="AX107" i="4"/>
  <c r="AY107" i="4"/>
  <c r="BA107" i="4"/>
  <c r="BJ107" i="4"/>
  <c r="BX107" i="4"/>
  <c r="CA107" i="4"/>
  <c r="CI107" i="4"/>
  <c r="A108" i="4"/>
  <c r="B108" i="4"/>
  <c r="C108" i="4"/>
  <c r="D108" i="4"/>
  <c r="E108" i="4"/>
  <c r="G108" i="4"/>
  <c r="J108" i="4"/>
  <c r="L108" i="4"/>
  <c r="M108" i="4"/>
  <c r="N108" i="4"/>
  <c r="U108" i="4"/>
  <c r="Y108" i="4"/>
  <c r="Z108" i="4"/>
  <c r="AA108" i="4"/>
  <c r="AB108" i="4"/>
  <c r="AC108" i="4"/>
  <c r="AG108" i="4"/>
  <c r="AQ108" i="4"/>
  <c r="AR108" i="4"/>
  <c r="AT108" i="4"/>
  <c r="AX108" i="4"/>
  <c r="AY108" i="4"/>
  <c r="BA108" i="4"/>
  <c r="BJ108" i="4"/>
  <c r="BX108" i="4"/>
  <c r="CA108" i="4"/>
  <c r="CI108" i="4"/>
  <c r="A109" i="4"/>
  <c r="B109" i="4"/>
  <c r="C109" i="4"/>
  <c r="D109" i="4"/>
  <c r="E109" i="4"/>
  <c r="G109" i="4"/>
  <c r="J109" i="4"/>
  <c r="L109" i="4"/>
  <c r="M109" i="4"/>
  <c r="N109" i="4"/>
  <c r="U109" i="4"/>
  <c r="Y109" i="4"/>
  <c r="Z109" i="4"/>
  <c r="AA109" i="4"/>
  <c r="AB109" i="4"/>
  <c r="AC109" i="4"/>
  <c r="AG109" i="4"/>
  <c r="AQ109" i="4"/>
  <c r="AR109" i="4"/>
  <c r="AT109" i="4"/>
  <c r="AX109" i="4"/>
  <c r="AY109" i="4"/>
  <c r="BA109" i="4"/>
  <c r="BJ109" i="4"/>
  <c r="BX109" i="4"/>
  <c r="CA109" i="4"/>
  <c r="CI109" i="4"/>
  <c r="A110" i="4"/>
  <c r="B110" i="4"/>
  <c r="C110" i="4"/>
  <c r="D110" i="4"/>
  <c r="E110" i="4"/>
  <c r="G110" i="4"/>
  <c r="J110" i="4"/>
  <c r="L110" i="4"/>
  <c r="M110" i="4"/>
  <c r="N110" i="4"/>
  <c r="U110" i="4"/>
  <c r="Y110" i="4"/>
  <c r="Z110" i="4"/>
  <c r="AA110" i="4"/>
  <c r="AB110" i="4"/>
  <c r="AC110" i="4"/>
  <c r="AG110" i="4"/>
  <c r="AQ110" i="4"/>
  <c r="AR110" i="4"/>
  <c r="AT110" i="4"/>
  <c r="AX110" i="4"/>
  <c r="AY110" i="4"/>
  <c r="BA110" i="4"/>
  <c r="BJ110" i="4"/>
  <c r="BX110" i="4"/>
  <c r="CA110" i="4"/>
  <c r="CI110" i="4"/>
  <c r="A111" i="4"/>
  <c r="B111" i="4"/>
  <c r="C111" i="4"/>
  <c r="D111" i="4"/>
  <c r="E111" i="4"/>
  <c r="G111" i="4"/>
  <c r="J111" i="4"/>
  <c r="L111" i="4"/>
  <c r="M111" i="4"/>
  <c r="N111" i="4"/>
  <c r="U111" i="4"/>
  <c r="Y111" i="4"/>
  <c r="Z111" i="4"/>
  <c r="AA111" i="4"/>
  <c r="AB111" i="4"/>
  <c r="AC111" i="4"/>
  <c r="AG111" i="4"/>
  <c r="AQ111" i="4"/>
  <c r="AR111" i="4"/>
  <c r="AT111" i="4"/>
  <c r="AX111" i="4"/>
  <c r="AY111" i="4"/>
  <c r="BA111" i="4"/>
  <c r="BJ111" i="4"/>
  <c r="BX111" i="4"/>
  <c r="CA111" i="4"/>
  <c r="CI111" i="4"/>
  <c r="A112" i="4"/>
  <c r="B112" i="4"/>
  <c r="C112" i="4"/>
  <c r="D112" i="4"/>
  <c r="E112" i="4"/>
  <c r="G112" i="4"/>
  <c r="J112" i="4"/>
  <c r="L112" i="4"/>
  <c r="M112" i="4"/>
  <c r="N112" i="4"/>
  <c r="U112" i="4"/>
  <c r="Y112" i="4"/>
  <c r="Z112" i="4"/>
  <c r="AA112" i="4"/>
  <c r="AB112" i="4"/>
  <c r="AC112" i="4"/>
  <c r="AG112" i="4"/>
  <c r="AQ112" i="4"/>
  <c r="AR112" i="4"/>
  <c r="AT112" i="4"/>
  <c r="AX112" i="4"/>
  <c r="AY112" i="4"/>
  <c r="BA112" i="4"/>
  <c r="BJ112" i="4"/>
  <c r="BX112" i="4"/>
  <c r="CA112" i="4"/>
  <c r="CI112" i="4"/>
  <c r="A113" i="4"/>
  <c r="B113" i="4"/>
  <c r="C113" i="4"/>
  <c r="D113" i="4"/>
  <c r="E113" i="4"/>
  <c r="G113" i="4"/>
  <c r="J113" i="4"/>
  <c r="L113" i="4"/>
  <c r="M113" i="4"/>
  <c r="N113" i="4"/>
  <c r="U113" i="4"/>
  <c r="Y113" i="4"/>
  <c r="Z113" i="4"/>
  <c r="AA113" i="4"/>
  <c r="AB113" i="4"/>
  <c r="AC113" i="4"/>
  <c r="AG113" i="4"/>
  <c r="AQ113" i="4"/>
  <c r="AR113" i="4"/>
  <c r="AT113" i="4"/>
  <c r="AX113" i="4"/>
  <c r="AY113" i="4"/>
  <c r="BA113" i="4"/>
  <c r="BJ113" i="4"/>
  <c r="BX113" i="4"/>
  <c r="CA113" i="4"/>
  <c r="CI113" i="4"/>
  <c r="A114" i="4"/>
  <c r="B114" i="4"/>
  <c r="C114" i="4"/>
  <c r="D114" i="4"/>
  <c r="E114" i="4"/>
  <c r="G114" i="4"/>
  <c r="J114" i="4"/>
  <c r="L114" i="4"/>
  <c r="M114" i="4"/>
  <c r="N114" i="4"/>
  <c r="U114" i="4"/>
  <c r="Y114" i="4"/>
  <c r="Z114" i="4"/>
  <c r="AA114" i="4"/>
  <c r="AB114" i="4"/>
  <c r="AC114" i="4"/>
  <c r="AG114" i="4"/>
  <c r="AQ114" i="4"/>
  <c r="AR114" i="4"/>
  <c r="AT114" i="4"/>
  <c r="AX114" i="4"/>
  <c r="AY114" i="4"/>
  <c r="BA114" i="4"/>
  <c r="BJ114" i="4"/>
  <c r="BX114" i="4"/>
  <c r="CA114" i="4"/>
  <c r="CI114" i="4"/>
  <c r="A115" i="4"/>
  <c r="B115" i="4"/>
  <c r="C115" i="4"/>
  <c r="D115" i="4"/>
  <c r="E115" i="4"/>
  <c r="G115" i="4"/>
  <c r="J115" i="4"/>
  <c r="L115" i="4"/>
  <c r="M115" i="4"/>
  <c r="N115" i="4"/>
  <c r="U115" i="4"/>
  <c r="Y115" i="4"/>
  <c r="Z115" i="4"/>
  <c r="AA115" i="4"/>
  <c r="AB115" i="4"/>
  <c r="AC115" i="4"/>
  <c r="AG115" i="4"/>
  <c r="AQ115" i="4"/>
  <c r="AR115" i="4"/>
  <c r="AT115" i="4"/>
  <c r="AX115" i="4"/>
  <c r="AY115" i="4"/>
  <c r="BA115" i="4"/>
  <c r="BJ115" i="4"/>
  <c r="BX115" i="4"/>
  <c r="CA115" i="4"/>
  <c r="CI115" i="4"/>
  <c r="A116" i="4"/>
  <c r="B116" i="4"/>
  <c r="C116" i="4"/>
  <c r="D116" i="4"/>
  <c r="E116" i="4"/>
  <c r="G116" i="4"/>
  <c r="J116" i="4"/>
  <c r="L116" i="4"/>
  <c r="M116" i="4"/>
  <c r="N116" i="4"/>
  <c r="U116" i="4"/>
  <c r="Y116" i="4"/>
  <c r="Z116" i="4"/>
  <c r="AA116" i="4"/>
  <c r="AB116" i="4"/>
  <c r="AC116" i="4"/>
  <c r="AG116" i="4"/>
  <c r="AQ116" i="4"/>
  <c r="AR116" i="4"/>
  <c r="AT116" i="4"/>
  <c r="AX116" i="4"/>
  <c r="AY116" i="4"/>
  <c r="BA116" i="4"/>
  <c r="BJ116" i="4"/>
  <c r="BX116" i="4"/>
  <c r="CA116" i="4"/>
  <c r="CI116" i="4"/>
  <c r="A117" i="4"/>
  <c r="B117" i="4"/>
  <c r="C117" i="4"/>
  <c r="D117" i="4"/>
  <c r="E117" i="4"/>
  <c r="G117" i="4"/>
  <c r="J117" i="4"/>
  <c r="L117" i="4"/>
  <c r="M117" i="4"/>
  <c r="N117" i="4"/>
  <c r="U117" i="4"/>
  <c r="Y117" i="4"/>
  <c r="Z117" i="4"/>
  <c r="AA117" i="4"/>
  <c r="AB117" i="4"/>
  <c r="AC117" i="4"/>
  <c r="AG117" i="4"/>
  <c r="AQ117" i="4"/>
  <c r="AR117" i="4"/>
  <c r="AT117" i="4"/>
  <c r="AX117" i="4"/>
  <c r="AY117" i="4"/>
  <c r="BA117" i="4"/>
  <c r="BJ117" i="4"/>
  <c r="BX117" i="4"/>
  <c r="CA117" i="4"/>
  <c r="CI117" i="4"/>
  <c r="A118" i="4"/>
  <c r="B118" i="4"/>
  <c r="C118" i="4"/>
  <c r="D118" i="4"/>
  <c r="E118" i="4"/>
  <c r="G118" i="4"/>
  <c r="J118" i="4"/>
  <c r="L118" i="4"/>
  <c r="M118" i="4"/>
  <c r="N118" i="4"/>
  <c r="U118" i="4"/>
  <c r="Y118" i="4"/>
  <c r="Z118" i="4"/>
  <c r="AA118" i="4"/>
  <c r="AB118" i="4"/>
  <c r="AC118" i="4"/>
  <c r="AG118" i="4"/>
  <c r="AQ118" i="4"/>
  <c r="AR118" i="4"/>
  <c r="AT118" i="4"/>
  <c r="AX118" i="4"/>
  <c r="AY118" i="4"/>
  <c r="BA118" i="4"/>
  <c r="BJ118" i="4"/>
  <c r="BX118" i="4"/>
  <c r="CA118" i="4"/>
  <c r="CI118" i="4"/>
  <c r="A119" i="4"/>
  <c r="B119" i="4"/>
  <c r="C119" i="4"/>
  <c r="D119" i="4"/>
  <c r="E119" i="4"/>
  <c r="G119" i="4"/>
  <c r="J119" i="4"/>
  <c r="L119" i="4"/>
  <c r="M119" i="4"/>
  <c r="N119" i="4"/>
  <c r="U119" i="4"/>
  <c r="Y119" i="4"/>
  <c r="Z119" i="4"/>
  <c r="AA119" i="4"/>
  <c r="AB119" i="4"/>
  <c r="AC119" i="4"/>
  <c r="AG119" i="4"/>
  <c r="AQ119" i="4"/>
  <c r="AR119" i="4"/>
  <c r="AT119" i="4"/>
  <c r="AX119" i="4"/>
  <c r="AY119" i="4"/>
  <c r="BA119" i="4"/>
  <c r="BJ119" i="4"/>
  <c r="BX119" i="4"/>
  <c r="CA119" i="4"/>
  <c r="CI119" i="4"/>
  <c r="A120" i="4"/>
  <c r="B120" i="4"/>
  <c r="C120" i="4"/>
  <c r="D120" i="4"/>
  <c r="E120" i="4"/>
  <c r="G120" i="4"/>
  <c r="J120" i="4"/>
  <c r="L120" i="4"/>
  <c r="M120" i="4"/>
  <c r="N120" i="4"/>
  <c r="U120" i="4"/>
  <c r="Y120" i="4"/>
  <c r="Z120" i="4"/>
  <c r="AA120" i="4"/>
  <c r="AB120" i="4"/>
  <c r="AC120" i="4"/>
  <c r="AG120" i="4"/>
  <c r="AQ120" i="4"/>
  <c r="AR120" i="4"/>
  <c r="AT120" i="4"/>
  <c r="AX120" i="4"/>
  <c r="AY120" i="4"/>
  <c r="BA120" i="4"/>
  <c r="BJ120" i="4"/>
  <c r="BX120" i="4"/>
  <c r="CA120" i="4"/>
  <c r="CI120" i="4"/>
  <c r="A121" i="4"/>
  <c r="B121" i="4"/>
  <c r="C121" i="4"/>
  <c r="D121" i="4"/>
  <c r="E121" i="4"/>
  <c r="G121" i="4"/>
  <c r="J121" i="4"/>
  <c r="L121" i="4"/>
  <c r="M121" i="4"/>
  <c r="N121" i="4"/>
  <c r="U121" i="4"/>
  <c r="Y121" i="4"/>
  <c r="Z121" i="4"/>
  <c r="AA121" i="4"/>
  <c r="AB121" i="4"/>
  <c r="AC121" i="4"/>
  <c r="AG121" i="4"/>
  <c r="AQ121" i="4"/>
  <c r="AR121" i="4"/>
  <c r="AT121" i="4"/>
  <c r="AX121" i="4"/>
  <c r="AY121" i="4"/>
  <c r="BA121" i="4"/>
  <c r="BJ121" i="4"/>
  <c r="BX121" i="4"/>
  <c r="CA121" i="4"/>
  <c r="CI121" i="4"/>
  <c r="A122" i="4"/>
  <c r="B122" i="4"/>
  <c r="C122" i="4"/>
  <c r="D122" i="4"/>
  <c r="E122" i="4"/>
  <c r="G122" i="4"/>
  <c r="J122" i="4"/>
  <c r="L122" i="4"/>
  <c r="M122" i="4"/>
  <c r="N122" i="4"/>
  <c r="U122" i="4"/>
  <c r="Y122" i="4"/>
  <c r="Z122" i="4"/>
  <c r="AA122" i="4"/>
  <c r="AB122" i="4"/>
  <c r="AC122" i="4"/>
  <c r="AG122" i="4"/>
  <c r="AQ122" i="4"/>
  <c r="AR122" i="4"/>
  <c r="AT122" i="4"/>
  <c r="AX122" i="4"/>
  <c r="AY122" i="4"/>
  <c r="BA122" i="4"/>
  <c r="BJ122" i="4"/>
  <c r="BX122" i="4"/>
  <c r="CA122" i="4"/>
  <c r="CI122" i="4"/>
  <c r="A123" i="4"/>
  <c r="B123" i="4"/>
  <c r="C123" i="4"/>
  <c r="D123" i="4"/>
  <c r="E123" i="4"/>
  <c r="G123" i="4"/>
  <c r="J123" i="4"/>
  <c r="L123" i="4"/>
  <c r="M123" i="4"/>
  <c r="N123" i="4"/>
  <c r="U123" i="4"/>
  <c r="Y123" i="4"/>
  <c r="Z123" i="4"/>
  <c r="AA123" i="4"/>
  <c r="AB123" i="4"/>
  <c r="AC123" i="4"/>
  <c r="AG123" i="4"/>
  <c r="AQ123" i="4"/>
  <c r="AR123" i="4"/>
  <c r="AT123" i="4"/>
  <c r="AX123" i="4"/>
  <c r="AY123" i="4"/>
  <c r="BA123" i="4"/>
  <c r="BJ123" i="4"/>
  <c r="BX123" i="4"/>
  <c r="CA123" i="4"/>
  <c r="CI123" i="4"/>
  <c r="A124" i="4"/>
  <c r="B124" i="4"/>
  <c r="C124" i="4"/>
  <c r="D124" i="4"/>
  <c r="E124" i="4"/>
  <c r="G124" i="4"/>
  <c r="J124" i="4"/>
  <c r="L124" i="4"/>
  <c r="M124" i="4"/>
  <c r="N124" i="4"/>
  <c r="U124" i="4"/>
  <c r="Y124" i="4"/>
  <c r="Z124" i="4"/>
  <c r="AA124" i="4"/>
  <c r="AB124" i="4"/>
  <c r="AC124" i="4"/>
  <c r="AG124" i="4"/>
  <c r="AQ124" i="4"/>
  <c r="AR124" i="4"/>
  <c r="AT124" i="4"/>
  <c r="AX124" i="4"/>
  <c r="AY124" i="4"/>
  <c r="BA124" i="4"/>
  <c r="BJ124" i="4"/>
  <c r="BX124" i="4"/>
  <c r="CA124" i="4"/>
  <c r="CI124" i="4"/>
  <c r="A125" i="4"/>
  <c r="B125" i="4"/>
  <c r="C125" i="4"/>
  <c r="D125" i="4"/>
  <c r="E125" i="4"/>
  <c r="G125" i="4"/>
  <c r="J125" i="4"/>
  <c r="L125" i="4"/>
  <c r="M125" i="4"/>
  <c r="N125" i="4"/>
  <c r="U125" i="4"/>
  <c r="Y125" i="4"/>
  <c r="Z125" i="4"/>
  <c r="AA125" i="4"/>
  <c r="AB125" i="4"/>
  <c r="AC125" i="4"/>
  <c r="AG125" i="4"/>
  <c r="AQ125" i="4"/>
  <c r="AR125" i="4"/>
  <c r="AT125" i="4"/>
  <c r="AX125" i="4"/>
  <c r="AY125" i="4"/>
  <c r="BA125" i="4"/>
  <c r="BJ125" i="4"/>
  <c r="BX125" i="4"/>
  <c r="CA125" i="4"/>
  <c r="CI125" i="4"/>
  <c r="A126" i="4"/>
  <c r="B126" i="4"/>
  <c r="C126" i="4"/>
  <c r="D126" i="4"/>
  <c r="E126" i="4"/>
  <c r="G126" i="4"/>
  <c r="J126" i="4"/>
  <c r="L126" i="4"/>
  <c r="M126" i="4"/>
  <c r="N126" i="4"/>
  <c r="U126" i="4"/>
  <c r="Y126" i="4"/>
  <c r="Z126" i="4"/>
  <c r="AA126" i="4"/>
  <c r="AB126" i="4"/>
  <c r="AC126" i="4"/>
  <c r="AG126" i="4"/>
  <c r="AQ126" i="4"/>
  <c r="AR126" i="4"/>
  <c r="AT126" i="4"/>
  <c r="AX126" i="4"/>
  <c r="AY126" i="4"/>
  <c r="BA126" i="4"/>
  <c r="BJ126" i="4"/>
  <c r="BX126" i="4"/>
  <c r="CA126" i="4"/>
  <c r="CI126" i="4"/>
  <c r="A127" i="4"/>
  <c r="B127" i="4"/>
  <c r="C127" i="4"/>
  <c r="D127" i="4"/>
  <c r="E127" i="4"/>
  <c r="G127" i="4"/>
  <c r="J127" i="4"/>
  <c r="L127" i="4"/>
  <c r="M127" i="4"/>
  <c r="N127" i="4"/>
  <c r="U127" i="4"/>
  <c r="Y127" i="4"/>
  <c r="Z127" i="4"/>
  <c r="AA127" i="4"/>
  <c r="AB127" i="4"/>
  <c r="AC127" i="4"/>
  <c r="AG127" i="4"/>
  <c r="AQ127" i="4"/>
  <c r="AR127" i="4"/>
  <c r="AT127" i="4"/>
  <c r="AX127" i="4"/>
  <c r="AY127" i="4"/>
  <c r="BA127" i="4"/>
  <c r="BJ127" i="4"/>
  <c r="BX127" i="4"/>
  <c r="CA127" i="4"/>
  <c r="CI127" i="4"/>
  <c r="A128" i="4"/>
  <c r="B128" i="4"/>
  <c r="C128" i="4"/>
  <c r="D128" i="4"/>
  <c r="E128" i="4"/>
  <c r="G128" i="4"/>
  <c r="J128" i="4"/>
  <c r="L128" i="4"/>
  <c r="M128" i="4"/>
  <c r="N128" i="4"/>
  <c r="U128" i="4"/>
  <c r="Y128" i="4"/>
  <c r="Z128" i="4"/>
  <c r="AA128" i="4"/>
  <c r="AB128" i="4"/>
  <c r="AC128" i="4"/>
  <c r="AG128" i="4"/>
  <c r="AQ128" i="4"/>
  <c r="AR128" i="4"/>
  <c r="AT128" i="4"/>
  <c r="AX128" i="4"/>
  <c r="AY128" i="4"/>
  <c r="BA128" i="4"/>
  <c r="BJ128" i="4"/>
  <c r="BX128" i="4"/>
  <c r="CA128" i="4"/>
  <c r="CI128" i="4"/>
  <c r="A129" i="4"/>
  <c r="B129" i="4"/>
  <c r="C129" i="4"/>
  <c r="D129" i="4"/>
  <c r="E129" i="4"/>
  <c r="G129" i="4"/>
  <c r="J129" i="4"/>
  <c r="L129" i="4"/>
  <c r="M129" i="4"/>
  <c r="N129" i="4"/>
  <c r="U129" i="4"/>
  <c r="Y129" i="4"/>
  <c r="Z129" i="4"/>
  <c r="AA129" i="4"/>
  <c r="AB129" i="4"/>
  <c r="AC129" i="4"/>
  <c r="AG129" i="4"/>
  <c r="AQ129" i="4"/>
  <c r="AR129" i="4"/>
  <c r="AT129" i="4"/>
  <c r="AX129" i="4"/>
  <c r="AY129" i="4"/>
  <c r="BA129" i="4"/>
  <c r="BJ129" i="4"/>
  <c r="BX129" i="4"/>
  <c r="CA129" i="4"/>
  <c r="CI129" i="4"/>
  <c r="A130" i="4"/>
  <c r="B130" i="4"/>
  <c r="C130" i="4"/>
  <c r="D130" i="4"/>
  <c r="E130" i="4"/>
  <c r="G130" i="4"/>
  <c r="J130" i="4"/>
  <c r="L130" i="4"/>
  <c r="M130" i="4"/>
  <c r="N130" i="4"/>
  <c r="U130" i="4"/>
  <c r="Y130" i="4"/>
  <c r="Z130" i="4"/>
  <c r="AA130" i="4"/>
  <c r="AB130" i="4"/>
  <c r="AC130" i="4"/>
  <c r="AG130" i="4"/>
  <c r="AQ130" i="4"/>
  <c r="AR130" i="4"/>
  <c r="AT130" i="4"/>
  <c r="AX130" i="4"/>
  <c r="AY130" i="4"/>
  <c r="BA130" i="4"/>
  <c r="BJ130" i="4"/>
  <c r="BX130" i="4"/>
  <c r="CA130" i="4"/>
  <c r="CI130" i="4"/>
  <c r="A131" i="4"/>
  <c r="B131" i="4"/>
  <c r="C131" i="4"/>
  <c r="D131" i="4"/>
  <c r="E131" i="4"/>
  <c r="G131" i="4"/>
  <c r="J131" i="4"/>
  <c r="L131" i="4"/>
  <c r="M131" i="4"/>
  <c r="N131" i="4"/>
  <c r="U131" i="4"/>
  <c r="Y131" i="4"/>
  <c r="Z131" i="4"/>
  <c r="AA131" i="4"/>
  <c r="AB131" i="4"/>
  <c r="AC131" i="4"/>
  <c r="AG131" i="4"/>
  <c r="AQ131" i="4"/>
  <c r="AR131" i="4"/>
  <c r="AT131" i="4"/>
  <c r="AX131" i="4"/>
  <c r="AY131" i="4"/>
  <c r="BA131" i="4"/>
  <c r="BJ131" i="4"/>
  <c r="BX131" i="4"/>
  <c r="CA131" i="4"/>
  <c r="CI131" i="4"/>
  <c r="A132" i="4"/>
  <c r="B132" i="4"/>
  <c r="C132" i="4"/>
  <c r="D132" i="4"/>
  <c r="E132" i="4"/>
  <c r="G132" i="4"/>
  <c r="J132" i="4"/>
  <c r="L132" i="4"/>
  <c r="M132" i="4"/>
  <c r="N132" i="4"/>
  <c r="U132" i="4"/>
  <c r="Y132" i="4"/>
  <c r="Z132" i="4"/>
  <c r="AA132" i="4"/>
  <c r="AB132" i="4"/>
  <c r="AC132" i="4"/>
  <c r="AG132" i="4"/>
  <c r="AQ132" i="4"/>
  <c r="AR132" i="4"/>
  <c r="AT132" i="4"/>
  <c r="AX132" i="4"/>
  <c r="AY132" i="4"/>
  <c r="BA132" i="4"/>
  <c r="BJ132" i="4"/>
  <c r="BX132" i="4"/>
  <c r="CA132" i="4"/>
  <c r="CI132" i="4"/>
  <c r="A133" i="4"/>
  <c r="B133" i="4"/>
  <c r="C133" i="4"/>
  <c r="D133" i="4"/>
  <c r="E133" i="4"/>
  <c r="G133" i="4"/>
  <c r="J133" i="4"/>
  <c r="L133" i="4"/>
  <c r="M133" i="4"/>
  <c r="N133" i="4"/>
  <c r="U133" i="4"/>
  <c r="Y133" i="4"/>
  <c r="Z133" i="4"/>
  <c r="AA133" i="4"/>
  <c r="AB133" i="4"/>
  <c r="AC133" i="4"/>
  <c r="AG133" i="4"/>
  <c r="AQ133" i="4"/>
  <c r="AR133" i="4"/>
  <c r="AT133" i="4"/>
  <c r="AX133" i="4"/>
  <c r="AY133" i="4"/>
  <c r="BA133" i="4"/>
  <c r="BJ133" i="4"/>
  <c r="BX133" i="4"/>
  <c r="CA133" i="4"/>
  <c r="CI133" i="4"/>
  <c r="A134" i="4"/>
  <c r="B134" i="4"/>
  <c r="C134" i="4"/>
  <c r="D134" i="4"/>
  <c r="E134" i="4"/>
  <c r="G134" i="4"/>
  <c r="J134" i="4"/>
  <c r="L134" i="4"/>
  <c r="M134" i="4"/>
  <c r="N134" i="4"/>
  <c r="U134" i="4"/>
  <c r="Y134" i="4"/>
  <c r="Z134" i="4"/>
  <c r="AA134" i="4"/>
  <c r="AB134" i="4"/>
  <c r="AC134" i="4"/>
  <c r="AG134" i="4"/>
  <c r="AQ134" i="4"/>
  <c r="AR134" i="4"/>
  <c r="AT134" i="4"/>
  <c r="AX134" i="4"/>
  <c r="AY134" i="4"/>
  <c r="BA134" i="4"/>
  <c r="BJ134" i="4"/>
  <c r="BX134" i="4"/>
  <c r="CA134" i="4"/>
  <c r="CI134" i="4"/>
  <c r="A135" i="4"/>
  <c r="B135" i="4"/>
  <c r="C135" i="4"/>
  <c r="D135" i="4"/>
  <c r="E135" i="4"/>
  <c r="G135" i="4"/>
  <c r="J135" i="4"/>
  <c r="L135" i="4"/>
  <c r="M135" i="4"/>
  <c r="N135" i="4"/>
  <c r="U135" i="4"/>
  <c r="Y135" i="4"/>
  <c r="Z135" i="4"/>
  <c r="AA135" i="4"/>
  <c r="AB135" i="4"/>
  <c r="AC135" i="4"/>
  <c r="AG135" i="4"/>
  <c r="AQ135" i="4"/>
  <c r="AR135" i="4"/>
  <c r="AT135" i="4"/>
  <c r="AX135" i="4"/>
  <c r="AY135" i="4"/>
  <c r="BA135" i="4"/>
  <c r="BJ135" i="4"/>
  <c r="BX135" i="4"/>
  <c r="CA135" i="4"/>
  <c r="CI135" i="4"/>
  <c r="A136" i="4"/>
  <c r="B136" i="4"/>
  <c r="C136" i="4"/>
  <c r="D136" i="4"/>
  <c r="E136" i="4"/>
  <c r="G136" i="4"/>
  <c r="J136" i="4"/>
  <c r="L136" i="4"/>
  <c r="M136" i="4"/>
  <c r="N136" i="4"/>
  <c r="U136" i="4"/>
  <c r="Y136" i="4"/>
  <c r="Z136" i="4"/>
  <c r="AA136" i="4"/>
  <c r="AB136" i="4"/>
  <c r="AC136" i="4"/>
  <c r="AG136" i="4"/>
  <c r="AQ136" i="4"/>
  <c r="AR136" i="4"/>
  <c r="AT136" i="4"/>
  <c r="AX136" i="4"/>
  <c r="AY136" i="4"/>
  <c r="BA136" i="4"/>
  <c r="BJ136" i="4"/>
  <c r="BX136" i="4"/>
  <c r="CA136" i="4"/>
  <c r="CI136" i="4"/>
  <c r="A137" i="4"/>
  <c r="B137" i="4"/>
  <c r="C137" i="4"/>
  <c r="D137" i="4"/>
  <c r="E137" i="4"/>
  <c r="G137" i="4"/>
  <c r="J137" i="4"/>
  <c r="L137" i="4"/>
  <c r="M137" i="4"/>
  <c r="N137" i="4"/>
  <c r="U137" i="4"/>
  <c r="Y137" i="4"/>
  <c r="Z137" i="4"/>
  <c r="AA137" i="4"/>
  <c r="AB137" i="4"/>
  <c r="AC137" i="4"/>
  <c r="AG137" i="4"/>
  <c r="AQ137" i="4"/>
  <c r="AR137" i="4"/>
  <c r="AT137" i="4"/>
  <c r="AX137" i="4"/>
  <c r="AY137" i="4"/>
  <c r="BA137" i="4"/>
  <c r="BJ137" i="4"/>
  <c r="BX137" i="4"/>
  <c r="CA137" i="4"/>
  <c r="CI137" i="4"/>
  <c r="A138" i="4"/>
  <c r="B138" i="4"/>
  <c r="C138" i="4"/>
  <c r="D138" i="4"/>
  <c r="E138" i="4"/>
  <c r="G138" i="4"/>
  <c r="J138" i="4"/>
  <c r="L138" i="4"/>
  <c r="M138" i="4"/>
  <c r="N138" i="4"/>
  <c r="U138" i="4"/>
  <c r="Y138" i="4"/>
  <c r="Z138" i="4"/>
  <c r="AA138" i="4"/>
  <c r="AB138" i="4"/>
  <c r="AC138" i="4"/>
  <c r="AG138" i="4"/>
  <c r="AQ138" i="4"/>
  <c r="AR138" i="4"/>
  <c r="AT138" i="4"/>
  <c r="AX138" i="4"/>
  <c r="AY138" i="4"/>
  <c r="BA138" i="4"/>
  <c r="BJ138" i="4"/>
  <c r="BX138" i="4"/>
  <c r="CA138" i="4"/>
  <c r="CI138" i="4"/>
  <c r="A139" i="4"/>
  <c r="B139" i="4"/>
  <c r="C139" i="4"/>
  <c r="D139" i="4"/>
  <c r="E139" i="4"/>
  <c r="G139" i="4"/>
  <c r="J139" i="4"/>
  <c r="L139" i="4"/>
  <c r="M139" i="4"/>
  <c r="N139" i="4"/>
  <c r="U139" i="4"/>
  <c r="Y139" i="4"/>
  <c r="Z139" i="4"/>
  <c r="AA139" i="4"/>
  <c r="AB139" i="4"/>
  <c r="AC139" i="4"/>
  <c r="AG139" i="4"/>
  <c r="AQ139" i="4"/>
  <c r="AR139" i="4"/>
  <c r="AT139" i="4"/>
  <c r="AX139" i="4"/>
  <c r="AY139" i="4"/>
  <c r="BA139" i="4"/>
  <c r="BJ139" i="4"/>
  <c r="BX139" i="4"/>
  <c r="CA139" i="4"/>
  <c r="CI139" i="4"/>
  <c r="A140" i="4"/>
  <c r="B140" i="4"/>
  <c r="C140" i="4"/>
  <c r="D140" i="4"/>
  <c r="E140" i="4"/>
  <c r="G140" i="4"/>
  <c r="J140" i="4"/>
  <c r="L140" i="4"/>
  <c r="M140" i="4"/>
  <c r="N140" i="4"/>
  <c r="U140" i="4"/>
  <c r="Y140" i="4"/>
  <c r="Z140" i="4"/>
  <c r="AA140" i="4"/>
  <c r="AB140" i="4"/>
  <c r="AC140" i="4"/>
  <c r="AG140" i="4"/>
  <c r="AQ140" i="4"/>
  <c r="AR140" i="4"/>
  <c r="AT140" i="4"/>
  <c r="AX140" i="4"/>
  <c r="AY140" i="4"/>
  <c r="BA140" i="4"/>
  <c r="BJ140" i="4"/>
  <c r="BX140" i="4"/>
  <c r="CA140" i="4"/>
  <c r="CI140" i="4"/>
  <c r="A141" i="4"/>
  <c r="B141" i="4"/>
  <c r="C141" i="4"/>
  <c r="D141" i="4"/>
  <c r="E141" i="4"/>
  <c r="G141" i="4"/>
  <c r="J141" i="4"/>
  <c r="L141" i="4"/>
  <c r="M141" i="4"/>
  <c r="N141" i="4"/>
  <c r="U141" i="4"/>
  <c r="Y141" i="4"/>
  <c r="Z141" i="4"/>
  <c r="AA141" i="4"/>
  <c r="AB141" i="4"/>
  <c r="AC141" i="4"/>
  <c r="AG141" i="4"/>
  <c r="AQ141" i="4"/>
  <c r="AR141" i="4"/>
  <c r="AT141" i="4"/>
  <c r="AX141" i="4"/>
  <c r="AY141" i="4"/>
  <c r="BA141" i="4"/>
  <c r="BJ141" i="4"/>
  <c r="BX141" i="4"/>
  <c r="CA141" i="4"/>
  <c r="CI141" i="4"/>
  <c r="A142" i="4"/>
  <c r="B142" i="4"/>
  <c r="C142" i="4"/>
  <c r="D142" i="4"/>
  <c r="E142" i="4"/>
  <c r="G142" i="4"/>
  <c r="J142" i="4"/>
  <c r="L142" i="4"/>
  <c r="M142" i="4"/>
  <c r="N142" i="4"/>
  <c r="U142" i="4"/>
  <c r="Y142" i="4"/>
  <c r="Z142" i="4"/>
  <c r="AA142" i="4"/>
  <c r="AB142" i="4"/>
  <c r="AC142" i="4"/>
  <c r="AG142" i="4"/>
  <c r="AQ142" i="4"/>
  <c r="AR142" i="4"/>
  <c r="AT142" i="4"/>
  <c r="AX142" i="4"/>
  <c r="AY142" i="4"/>
  <c r="BA142" i="4"/>
  <c r="BJ142" i="4"/>
  <c r="BX142" i="4"/>
  <c r="CA142" i="4"/>
  <c r="CI142" i="4"/>
  <c r="A143" i="4"/>
  <c r="B143" i="4"/>
  <c r="C143" i="4"/>
  <c r="D143" i="4"/>
  <c r="E143" i="4"/>
  <c r="G143" i="4"/>
  <c r="J143" i="4"/>
  <c r="L143" i="4"/>
  <c r="M143" i="4"/>
  <c r="N143" i="4"/>
  <c r="U143" i="4"/>
  <c r="Y143" i="4"/>
  <c r="Z143" i="4"/>
  <c r="AA143" i="4"/>
  <c r="AB143" i="4"/>
  <c r="AC143" i="4"/>
  <c r="AG143" i="4"/>
  <c r="AQ143" i="4"/>
  <c r="AR143" i="4"/>
  <c r="AT143" i="4"/>
  <c r="AX143" i="4"/>
  <c r="AY143" i="4"/>
  <c r="BA143" i="4"/>
  <c r="BJ143" i="4"/>
  <c r="BX143" i="4"/>
  <c r="CA143" i="4"/>
  <c r="CI143" i="4"/>
  <c r="A144" i="4"/>
  <c r="B144" i="4"/>
  <c r="C144" i="4"/>
  <c r="D144" i="4"/>
  <c r="E144" i="4"/>
  <c r="G144" i="4"/>
  <c r="J144" i="4"/>
  <c r="L144" i="4"/>
  <c r="M144" i="4"/>
  <c r="N144" i="4"/>
  <c r="U144" i="4"/>
  <c r="Y144" i="4"/>
  <c r="Z144" i="4"/>
  <c r="AA144" i="4"/>
  <c r="AB144" i="4"/>
  <c r="AC144" i="4"/>
  <c r="AG144" i="4"/>
  <c r="AQ144" i="4"/>
  <c r="AR144" i="4"/>
  <c r="AT144" i="4"/>
  <c r="AX144" i="4"/>
  <c r="AY144" i="4"/>
  <c r="BA144" i="4"/>
  <c r="BJ144" i="4"/>
  <c r="BX144" i="4"/>
  <c r="CA144" i="4"/>
  <c r="CI144" i="4"/>
  <c r="A145" i="4"/>
  <c r="B145" i="4"/>
  <c r="C145" i="4"/>
  <c r="D145" i="4"/>
  <c r="E145" i="4"/>
  <c r="G145" i="4"/>
  <c r="J145" i="4"/>
  <c r="L145" i="4"/>
  <c r="M145" i="4"/>
  <c r="N145" i="4"/>
  <c r="U145" i="4"/>
  <c r="Y145" i="4"/>
  <c r="Z145" i="4"/>
  <c r="AA145" i="4"/>
  <c r="AB145" i="4"/>
  <c r="AC145" i="4"/>
  <c r="AG145" i="4"/>
  <c r="AQ145" i="4"/>
  <c r="AR145" i="4"/>
  <c r="AT145" i="4"/>
  <c r="AX145" i="4"/>
  <c r="AY145" i="4"/>
  <c r="BA145" i="4"/>
  <c r="BJ145" i="4"/>
  <c r="BX145" i="4"/>
  <c r="CA145" i="4"/>
  <c r="CI145" i="4"/>
  <c r="A146" i="4"/>
  <c r="B146" i="4"/>
  <c r="C146" i="4"/>
  <c r="D146" i="4"/>
  <c r="E146" i="4"/>
  <c r="G146" i="4"/>
  <c r="J146" i="4"/>
  <c r="L146" i="4"/>
  <c r="M146" i="4"/>
  <c r="N146" i="4"/>
  <c r="U146" i="4"/>
  <c r="Y146" i="4"/>
  <c r="Z146" i="4"/>
  <c r="AA146" i="4"/>
  <c r="AB146" i="4"/>
  <c r="AC146" i="4"/>
  <c r="AG146" i="4"/>
  <c r="AQ146" i="4"/>
  <c r="AR146" i="4"/>
  <c r="AT146" i="4"/>
  <c r="AX146" i="4"/>
  <c r="AY146" i="4"/>
  <c r="BA146" i="4"/>
  <c r="BJ146" i="4"/>
  <c r="BX146" i="4"/>
  <c r="CA146" i="4"/>
  <c r="CI146" i="4"/>
  <c r="A147" i="4"/>
  <c r="B147" i="4"/>
  <c r="C147" i="4"/>
  <c r="D147" i="4"/>
  <c r="E147" i="4"/>
  <c r="G147" i="4"/>
  <c r="J147" i="4"/>
  <c r="L147" i="4"/>
  <c r="M147" i="4"/>
  <c r="N147" i="4"/>
  <c r="U147" i="4"/>
  <c r="Y147" i="4"/>
  <c r="Z147" i="4"/>
  <c r="AA147" i="4"/>
  <c r="AB147" i="4"/>
  <c r="AC147" i="4"/>
  <c r="AG147" i="4"/>
  <c r="AQ147" i="4"/>
  <c r="AR147" i="4"/>
  <c r="AT147" i="4"/>
  <c r="AX147" i="4"/>
  <c r="AY147" i="4"/>
  <c r="BA147" i="4"/>
  <c r="BJ147" i="4"/>
  <c r="BX147" i="4"/>
  <c r="CA147" i="4"/>
  <c r="CI147" i="4"/>
  <c r="A148" i="4"/>
  <c r="B148" i="4"/>
  <c r="C148" i="4"/>
  <c r="D148" i="4"/>
  <c r="E148" i="4"/>
  <c r="G148" i="4"/>
  <c r="J148" i="4"/>
  <c r="L148" i="4"/>
  <c r="M148" i="4"/>
  <c r="N148" i="4"/>
  <c r="U148" i="4"/>
  <c r="Y148" i="4"/>
  <c r="Z148" i="4"/>
  <c r="AA148" i="4"/>
  <c r="AB148" i="4"/>
  <c r="AC148" i="4"/>
  <c r="AG148" i="4"/>
  <c r="AQ148" i="4"/>
  <c r="AR148" i="4"/>
  <c r="AT148" i="4"/>
  <c r="AX148" i="4"/>
  <c r="AY148" i="4"/>
  <c r="BA148" i="4"/>
  <c r="BJ148" i="4"/>
  <c r="BX148" i="4"/>
  <c r="CA148" i="4"/>
  <c r="CI148" i="4"/>
  <c r="A149" i="4"/>
  <c r="B149" i="4"/>
  <c r="C149" i="4"/>
  <c r="D149" i="4"/>
  <c r="E149" i="4"/>
  <c r="G149" i="4"/>
  <c r="J149" i="4"/>
  <c r="L149" i="4"/>
  <c r="M149" i="4"/>
  <c r="N149" i="4"/>
  <c r="U149" i="4"/>
  <c r="Y149" i="4"/>
  <c r="Z149" i="4"/>
  <c r="AA149" i="4"/>
  <c r="AB149" i="4"/>
  <c r="AC149" i="4"/>
  <c r="AG149" i="4"/>
  <c r="AQ149" i="4"/>
  <c r="AR149" i="4"/>
  <c r="AT149" i="4"/>
  <c r="AX149" i="4"/>
  <c r="AY149" i="4"/>
  <c r="BA149" i="4"/>
  <c r="BJ149" i="4"/>
  <c r="BX149" i="4"/>
  <c r="CA149" i="4"/>
  <c r="CI149" i="4"/>
  <c r="A150" i="4"/>
  <c r="B150" i="4"/>
  <c r="C150" i="4"/>
  <c r="D150" i="4"/>
  <c r="E150" i="4"/>
  <c r="G150" i="4"/>
  <c r="J150" i="4"/>
  <c r="L150" i="4"/>
  <c r="M150" i="4"/>
  <c r="N150" i="4"/>
  <c r="U150" i="4"/>
  <c r="Y150" i="4"/>
  <c r="Z150" i="4"/>
  <c r="AA150" i="4"/>
  <c r="AB150" i="4"/>
  <c r="AC150" i="4"/>
  <c r="AG150" i="4"/>
  <c r="AQ150" i="4"/>
  <c r="AR150" i="4"/>
  <c r="AT150" i="4"/>
  <c r="AX150" i="4"/>
  <c r="AY150" i="4"/>
  <c r="BA150" i="4"/>
  <c r="BJ150" i="4"/>
  <c r="BX150" i="4"/>
  <c r="CA150" i="4"/>
  <c r="CI150" i="4"/>
  <c r="AC39" i="4"/>
  <c r="AC38" i="4"/>
  <c r="AC10" i="4"/>
  <c r="AC20" i="4"/>
  <c r="AC14" i="4"/>
  <c r="AC28" i="4"/>
  <c r="AC18" i="4"/>
  <c r="AC36" i="4"/>
  <c r="AC12" i="4"/>
  <c r="AC24" i="4"/>
  <c r="AC8" i="4"/>
  <c r="AC30" i="4"/>
  <c r="AC21" i="4"/>
  <c r="AC22" i="4"/>
  <c r="AC5" i="4"/>
  <c r="AC9" i="4"/>
  <c r="AC11" i="4"/>
  <c r="AC13" i="4"/>
  <c r="AC15" i="4"/>
  <c r="AC17" i="4"/>
  <c r="AC19" i="4"/>
  <c r="AC37" i="4"/>
  <c r="AC3" i="4"/>
  <c r="AC23" i="4"/>
  <c r="AC40" i="4"/>
  <c r="AC41" i="4"/>
  <c r="AC25" i="4"/>
  <c r="AC27" i="4"/>
  <c r="AC29" i="4"/>
  <c r="AC31" i="4"/>
  <c r="AC33" i="4"/>
  <c r="AC35" i="4"/>
  <c r="AC7" i="4"/>
  <c r="AC4" i="4"/>
  <c r="AC6" i="4"/>
  <c r="AC26" i="4"/>
  <c r="AC16" i="4"/>
  <c r="AC34" i="4"/>
  <c r="AC32" i="4"/>
  <c r="CI2" i="4" l="1"/>
  <c r="CA2" i="4"/>
  <c r="BX2" i="4"/>
  <c r="BJ2" i="4"/>
  <c r="AX2" i="4"/>
  <c r="AY2" i="4"/>
  <c r="AT2" i="4"/>
  <c r="AQ2" i="4"/>
  <c r="AC2" i="4"/>
  <c r="AR2" i="4" l="1"/>
  <c r="AG2" i="4"/>
  <c r="AB2" i="4"/>
  <c r="AA2" i="4"/>
  <c r="Z2" i="4"/>
  <c r="Y2" i="4"/>
  <c r="U2" i="4"/>
  <c r="N2" i="4"/>
  <c r="M2" i="4"/>
  <c r="L2" i="4"/>
  <c r="J2" i="4"/>
  <c r="G2" i="4"/>
  <c r="E2" i="4"/>
  <c r="D2" i="4"/>
  <c r="C2" i="4" l="1"/>
  <c r="B2" i="4"/>
  <c r="A2" i="4"/>
</calcChain>
</file>

<file path=xl/sharedStrings.xml><?xml version="1.0" encoding="utf-8"?>
<sst xmlns="http://schemas.openxmlformats.org/spreadsheetml/2006/main" count="227" uniqueCount="227">
  <si>
    <t>COMPANY.ID</t>
  </si>
  <si>
    <t>EMPLOYER.ID</t>
  </si>
  <si>
    <t>TOBACCO/SMOKER</t>
  </si>
  <si>
    <t>Zip</t>
  </si>
  <si>
    <t>City</t>
  </si>
  <si>
    <t>State</t>
  </si>
  <si>
    <t>TELEPHONE</t>
  </si>
  <si>
    <t>HANDICAPPED</t>
  </si>
  <si>
    <t>BLIND</t>
  </si>
  <si>
    <t>VIETNAM.VET</t>
  </si>
  <si>
    <t>DISABLED.VET</t>
  </si>
  <si>
    <t>CITIZEN</t>
  </si>
  <si>
    <t>Gender</t>
  </si>
  <si>
    <t>EMERGENCY.CONTACT</t>
  </si>
  <si>
    <t>EMERGENCY.PHONE</t>
  </si>
  <si>
    <t>EMERGENCY.RELATION</t>
  </si>
  <si>
    <t>STATUS.CODE</t>
  </si>
  <si>
    <t>TYPE.CODE</t>
  </si>
  <si>
    <t>LOCATION.CODE</t>
  </si>
  <si>
    <t>WORK.PHONE</t>
  </si>
  <si>
    <t>WORK.EXT</t>
  </si>
  <si>
    <t>MAIL.ADDR.ONE</t>
  </si>
  <si>
    <t>MAIL.ADDR.TWO</t>
  </si>
  <si>
    <t>MAIL.CITY</t>
  </si>
  <si>
    <t>MAIL.STATE</t>
  </si>
  <si>
    <t>MAIL.ZIP</t>
  </si>
  <si>
    <t>SHIFT.CODE</t>
  </si>
  <si>
    <t>DISCONTINUED</t>
  </si>
  <si>
    <t>STD HOURS</t>
  </si>
  <si>
    <t>EIC.FILING.STATUS</t>
  </si>
  <si>
    <t>WORK.STATE.STATUS</t>
  </si>
  <si>
    <t>WORK.STATE.ALLOWS</t>
  </si>
  <si>
    <t>WORK.STATE.ADDITIONAL.AMOUNT</t>
  </si>
  <si>
    <t>OFFICER</t>
  </si>
  <si>
    <t>DEPT.CODE</t>
  </si>
  <si>
    <t>TERM. CODE</t>
  </si>
  <si>
    <t>EMAIL.ADDRESS</t>
  </si>
  <si>
    <t>BENEFIT.GROUP</t>
  </si>
  <si>
    <t>USER.FIELD.1</t>
  </si>
  <si>
    <t>USER.FIELD.2</t>
  </si>
  <si>
    <t>USER.FIELD.3</t>
  </si>
  <si>
    <t>USER.FIELD.4</t>
  </si>
  <si>
    <t>USER.FIELD.5</t>
  </si>
  <si>
    <t>ZIP SUFFIX</t>
  </si>
  <si>
    <t>ALT CALC  HOME STATE CODE</t>
  </si>
  <si>
    <t>ALT CALC WORKSTATE CODE</t>
  </si>
  <si>
    <t>1099 EMPLOYEE?</t>
  </si>
  <si>
    <t>PAY.GROUP</t>
  </si>
  <si>
    <t>DIVISION.CODE</t>
  </si>
  <si>
    <t>PROJECT.CODE</t>
  </si>
  <si>
    <t>AUTO.PAY</t>
  </si>
  <si>
    <t>AUTO.PAY.HOURS</t>
  </si>
  <si>
    <t>HOME.STATE.EXEMPT.AMOUNT</t>
  </si>
  <si>
    <t>HOME.STATE.SECONDARY.ALLOWS</t>
  </si>
  <si>
    <t>HOME.STATE.SUPP.AMOUNT</t>
  </si>
  <si>
    <t>WORK.STATE.EXEMPT.AMOUNT</t>
  </si>
  <si>
    <t>WORK.STATE.SECONDARY.ALLOWS</t>
  </si>
  <si>
    <t>WS.SUPP.AMOUNT</t>
  </si>
  <si>
    <t>PAY.PERIOD</t>
  </si>
  <si>
    <t>VETERAN</t>
  </si>
  <si>
    <t>NEWLY.SEPARATED.VET</t>
  </si>
  <si>
    <t>SERVICE.MEDAL.VET</t>
  </si>
  <si>
    <t>OTHER.PROTECTED.VET</t>
  </si>
  <si>
    <t>I9.DOCUMENT.TITLE.A</t>
  </si>
  <si>
    <t>I9.DOCEMENT.NUMBER.A</t>
  </si>
  <si>
    <t>I9.ISSUING.AUTHORITY.A</t>
  </si>
  <si>
    <t>I9.EXPIRATION.DATE.A</t>
  </si>
  <si>
    <t>I9.DOCUMENT.TITLE.B</t>
  </si>
  <si>
    <t>I9.DOCUMENT.NUMBER.B</t>
  </si>
  <si>
    <t>I9.ISSUING.AUTHORITY.B</t>
  </si>
  <si>
    <t>I9.EXPIRATION.DATE.B</t>
  </si>
  <si>
    <t>ALIEN.REG.NO</t>
  </si>
  <si>
    <t>FICA.EXEMPT</t>
  </si>
  <si>
    <t>UNION.CODE</t>
  </si>
  <si>
    <t>SUPERVISOR.ID</t>
  </si>
  <si>
    <t>BENE.THRU.DATE</t>
  </si>
  <si>
    <t>SCHOOL.DISTRICT</t>
  </si>
  <si>
    <t>AGRICULTURAL</t>
  </si>
  <si>
    <t>HOME.PHONE.2</t>
  </si>
  <si>
    <t>ALT.PAYRATE.1</t>
  </si>
  <si>
    <t>ALT.PAYRATE.2</t>
  </si>
  <si>
    <t>ALT.PAYRATE.3</t>
  </si>
  <si>
    <t>ALT.PAYRATE.4</t>
  </si>
  <si>
    <t>ALT.PAYRATE.5</t>
  </si>
  <si>
    <t>ALT.PAYRATE.6</t>
  </si>
  <si>
    <t>ALT.PAYRATE.7</t>
  </si>
  <si>
    <t>ALT.PAYRATE.8</t>
  </si>
  <si>
    <t>ALT.PAYRATE.9</t>
  </si>
  <si>
    <t>ALT.PAYRATE.10</t>
  </si>
  <si>
    <t>MAIL.CHECK.HOME</t>
  </si>
  <si>
    <t>W2.ADDRESS.ONE</t>
  </si>
  <si>
    <t>W2.ADDRESS.TWO</t>
  </si>
  <si>
    <t>W2.CITY</t>
  </si>
  <si>
    <t>W2.STATE</t>
  </si>
  <si>
    <t>W2.ZIP.CODE</t>
  </si>
  <si>
    <t>LICENSE.NUMBER</t>
  </si>
  <si>
    <t>LICENSE.EXPIRE.DATE</t>
  </si>
  <si>
    <t>LICENSE.STATE</t>
  </si>
  <si>
    <t>S.CORP.PRINCIPAL</t>
  </si>
  <si>
    <t>ELECTRONIC.PAY.STUB</t>
  </si>
  <si>
    <t>ELECTRONIC.W2.FORM</t>
  </si>
  <si>
    <t>ALLOC.LOCATION.1</t>
  </si>
  <si>
    <t>ALLOC.LOCATION.2</t>
  </si>
  <si>
    <t>ALLOC.LOCATION.3</t>
  </si>
  <si>
    <t>ALLOC.LOCATION.4</t>
  </si>
  <si>
    <t>ALLOC.LOCATION.5</t>
  </si>
  <si>
    <t>ALLOC.DIVISION.1</t>
  </si>
  <si>
    <t>ALLOC.DIVISION.2</t>
  </si>
  <si>
    <t>ALLOC.DIVISION.3</t>
  </si>
  <si>
    <t>ALLOC.DIVISION.4</t>
  </si>
  <si>
    <t>ALLOC.DIVISION.5</t>
  </si>
  <si>
    <t>ALLOC.DEPARTMENT.1</t>
  </si>
  <si>
    <t>ALLOC.DEPARTMENT.2</t>
  </si>
  <si>
    <t>ALLOC.DEPARTMENT.3</t>
  </si>
  <si>
    <t>ALLOC.DEPARTMENT.4</t>
  </si>
  <si>
    <t>ALLOC.DEPARTMENT.5</t>
  </si>
  <si>
    <t>ALLOC.PROJECT.1</t>
  </si>
  <si>
    <t>ALLOC.PROJECT.2</t>
  </si>
  <si>
    <t>ALLOC.PROJECT.3</t>
  </si>
  <si>
    <t>ALLOC.PROJECT.4</t>
  </si>
  <si>
    <t>ALLOC.PROJECT.5</t>
  </si>
  <si>
    <t>ALLOC.JOBS.1</t>
  </si>
  <si>
    <t>ALLOC.JOBS.2</t>
  </si>
  <si>
    <t>ALLOC.JOBS.3</t>
  </si>
  <si>
    <t>ALLOC.JOBS.4</t>
  </si>
  <si>
    <t>ALLOC.JOBS.5</t>
  </si>
  <si>
    <t>ALLOC.PERCENTS.1</t>
  </si>
  <si>
    <t>ALLOC.PERCENTS.2</t>
  </si>
  <si>
    <t>ALLOC.PERCENTS.3</t>
  </si>
  <si>
    <t>ALLOC.PERCENTS.4</t>
  </si>
  <si>
    <t>ALLOC.PERCENTS.5</t>
  </si>
  <si>
    <t>ONHRP.ONBOARDED</t>
  </si>
  <si>
    <t>HANDBK.RCD</t>
  </si>
  <si>
    <t>LAST.REVIEW</t>
  </si>
  <si>
    <t>NEXT.REVIEW</t>
  </si>
  <si>
    <t>NICKNAME</t>
  </si>
  <si>
    <t>ACA</t>
  </si>
  <si>
    <t xml:space="preserve">Social Security Number </t>
  </si>
  <si>
    <t>Project Code</t>
  </si>
  <si>
    <t>Location</t>
  </si>
  <si>
    <t>Additional</t>
  </si>
  <si>
    <t>Start Date</t>
  </si>
  <si>
    <t>DOB</t>
  </si>
  <si>
    <t>First Name</t>
  </si>
  <si>
    <t>Last Name</t>
  </si>
  <si>
    <t>Middle Initial</t>
  </si>
  <si>
    <t>Primary Rate</t>
  </si>
  <si>
    <t>Address</t>
  </si>
  <si>
    <t>Witholding Status</t>
  </si>
  <si>
    <t>Exemptions</t>
  </si>
  <si>
    <t>FIRST.NAME</t>
  </si>
  <si>
    <t>LAST.NAME</t>
  </si>
  <si>
    <t>MIDDLE.INIT</t>
  </si>
  <si>
    <t>BIRTH.DATE</t>
  </si>
  <si>
    <t>ETHNIC.CODE</t>
  </si>
  <si>
    <t>MARITAL.STATUS</t>
  </si>
  <si>
    <t>ADDR.ONE</t>
  </si>
  <si>
    <t>ADDR.TWO</t>
  </si>
  <si>
    <t>ZIP.CODE</t>
  </si>
  <si>
    <t>CITY</t>
  </si>
  <si>
    <t>STATE</t>
  </si>
  <si>
    <t>GENDER</t>
  </si>
  <si>
    <t>SOC.SEC.NUM</t>
  </si>
  <si>
    <t>JOB.CODE</t>
  </si>
  <si>
    <t>ORIG.HIRE</t>
  </si>
  <si>
    <t>LAST.HIRE</t>
  </si>
  <si>
    <t>PEO.START.DT</t>
  </si>
  <si>
    <t>EMPLOYEE.NO</t>
  </si>
  <si>
    <t>PAY.METHOD</t>
  </si>
  <si>
    <t>EXT.PAY.RATE</t>
  </si>
  <si>
    <t>FEDERAL.STATUS</t>
  </si>
  <si>
    <t>FEDERAL.ALLOWS</t>
  </si>
  <si>
    <t>EXTRA.FEDERAL</t>
  </si>
  <si>
    <t>HOME.STATE STATUS</t>
  </si>
  <si>
    <t>HOME.STATE.ALLOWS</t>
  </si>
  <si>
    <t>HOME.STATE.ADDITONAL.AMOUNT</t>
  </si>
  <si>
    <t>TERM.DATE</t>
  </si>
  <si>
    <t>NEW.HIRE.RPT.DATE</t>
  </si>
  <si>
    <t>WORK.EMAIL</t>
  </si>
  <si>
    <t>BEN.EMAIL.OPT.IN.DATE</t>
  </si>
  <si>
    <t>BENEFITS.EMAIL.ADDRESS</t>
  </si>
  <si>
    <t>USE.ADDED.I9.VALUES</t>
  </si>
  <si>
    <t>FED.W4.FILE</t>
  </si>
  <si>
    <t>FED.W4.YEAR</t>
  </si>
  <si>
    <t>FED.W5.FILE</t>
  </si>
  <si>
    <t>FED.W5.YEAR</t>
  </si>
  <si>
    <t>FORM.I9</t>
  </si>
  <si>
    <t>I9.FROM.OB</t>
  </si>
  <si>
    <t>I9.RENEW.DATE</t>
  </si>
  <si>
    <t>I9.START.DATE</t>
  </si>
  <si>
    <t>I9.LAST.NAME</t>
  </si>
  <si>
    <t>I9.FIRST.NAME</t>
  </si>
  <si>
    <t>I9.MIDDLE.NAME</t>
  </si>
  <si>
    <t>I9.OTHER.NAME.USED</t>
  </si>
  <si>
    <t>I9.SSN</t>
  </si>
  <si>
    <t>I9.DOB</t>
  </si>
  <si>
    <t>I9.ELIG2.DOCMNT</t>
  </si>
  <si>
    <t>I9.ELIG2.AUTH.NAME</t>
  </si>
  <si>
    <t>I9.ELIG2.DOCNO</t>
  </si>
  <si>
    <t>I9.ELIG2.DOC.EXP</t>
  </si>
  <si>
    <t>I9.ELIG3.DOCMNT</t>
  </si>
  <si>
    <t>I9.ELIG3.AUTH.NAME</t>
  </si>
  <si>
    <t>I9.ELIG3.DOCNO</t>
  </si>
  <si>
    <t>I9.ELIG3.DOC.EXP</t>
  </si>
  <si>
    <t>CITIZEN.STATUS</t>
  </si>
  <si>
    <t>FOREIGN.PASSPORT.NO</t>
  </si>
  <si>
    <t>FOREIGN.PASSPORT.COUNTRY</t>
  </si>
  <si>
    <t>I94.ADMISSION.NO</t>
  </si>
  <si>
    <t>ALIEN.REG.EXP</t>
  </si>
  <si>
    <t>NONRES.ALIEN</t>
  </si>
  <si>
    <t>HNDBK.MAILED</t>
  </si>
  <si>
    <t>BCKGRND.TEST.DATE</t>
  </si>
  <si>
    <t>BCKGRND.TEST.DONE</t>
  </si>
  <si>
    <t>FORM.C112.SIGNED</t>
  </si>
  <si>
    <t>PSD.CODE</t>
  </si>
  <si>
    <t>MULTIPLE.JOBS.FED</t>
  </si>
  <si>
    <t>CLAIM.DEPENDENTS.FED</t>
  </si>
  <si>
    <t>OTHER.INCOME.FED</t>
  </si>
  <si>
    <t>DEDUCTIONS.FED</t>
  </si>
  <si>
    <t>WS.MULTIPLE.JOBS</t>
  </si>
  <si>
    <t>WS.CLAIM.DEPENDENTS</t>
  </si>
  <si>
    <t>WS.OTHER.INCOME</t>
  </si>
  <si>
    <t>WS.DEDUCTIONS</t>
  </si>
  <si>
    <t>HS.MULTIPLE.JOBS</t>
  </si>
  <si>
    <t>HS.CLAIM.DEPENDENTS</t>
  </si>
  <si>
    <t>HS.OTHER.INCOME</t>
  </si>
  <si>
    <t>HS.DEDUCTIONS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</si>
</sst>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00\-00\-00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6">
    <xf numFmtId="0" fontId="0" fillId="0" borderId="0"/>
    <xf numFmtId="0" fontId="1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2" applyNumberFormat="0" applyAlignment="0" applyProtection="0"/>
    <xf numFmtId="0" fontId="6" fillId="21" borderId="3" applyNumberFormat="0" applyAlignment="0" applyProtection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2" applyNumberFormat="0" applyAlignment="0" applyProtection="0"/>
    <xf numFmtId="0" fontId="13" fillId="0" borderId="7" applyNumberFormat="0" applyFill="0" applyAlignment="0" applyProtection="0"/>
    <xf numFmtId="0" fontId="14" fillId="22" borderId="0" applyNumberFormat="0" applyBorder="0" applyAlignment="0" applyProtection="0"/>
    <xf numFmtId="0" fontId="1" fillId="23" borderId="8" applyNumberFormat="0" applyFont="0" applyAlignment="0" applyProtection="0"/>
    <xf numFmtId="0" fontId="15" fillId="20" borderId="9" applyNumberFormat="0" applyAlignment="0" applyProtection="0"/>
    <xf numFmtId="0" fontId="16" fillId="0" borderId="0" applyNumberFormat="0" applyFill="0" applyBorder="0" applyAlignment="0" applyProtection="0"/>
    <xf numFmtId="0" fontId="17" fillId="0" borderId="10" applyNumberFormat="0" applyFill="0" applyAlignment="0" applyProtection="0"/>
    <xf numFmtId="0" fontId="18" fillId="0" borderId="0" applyNumberFormat="0" applyFill="0" applyBorder="0" applyAlignment="0" applyProtection="0"/>
    <xf numFmtId="44" fontId="20" fillId="0" borderId="0" applyFont="0" applyFill="0" applyBorder="0" applyAlignment="0" applyProtection="0"/>
    <xf numFmtId="43" fontId="20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44" fontId="19" fillId="0" borderId="1" xfId="29" applyFont="1" applyFill="1" applyBorder="1" applyAlignment="1">
      <alignment horizontal="right"/>
    </xf>
    <xf numFmtId="0" fontId="1" fillId="24" borderId="11" xfId="1" applyFont="1" applyFill="1" applyBorder="1" applyAlignment="1">
      <alignment horizontal="left" vertical="center" wrapText="1"/>
    </xf>
    <xf numFmtId="1" fontId="1" fillId="24" borderId="11" xfId="1" applyNumberFormat="1" applyFont="1" applyFill="1" applyBorder="1" applyAlignment="1">
      <alignment horizontal="left" vertical="center" wrapText="1"/>
    </xf>
    <xf numFmtId="164" fontId="1" fillId="24" borderId="11" xfId="1" applyNumberFormat="1" applyFont="1" applyFill="1" applyBorder="1" applyAlignment="1">
      <alignment horizontal="left" vertical="center" wrapText="1"/>
    </xf>
    <xf numFmtId="2" fontId="1" fillId="24" borderId="11" xfId="1" applyNumberFormat="1" applyFont="1" applyFill="1" applyBorder="1" applyAlignment="1">
      <alignment horizontal="left" vertical="center" wrapText="1"/>
    </xf>
    <xf numFmtId="0" fontId="1" fillId="24" borderId="11" xfId="1" applyNumberFormat="1" applyFont="1" applyFill="1" applyBorder="1" applyAlignment="1">
      <alignment horizontal="left" vertical="center" wrapText="1"/>
    </xf>
    <xf numFmtId="44" fontId="1" fillId="24" borderId="11" xfId="29" applyFont="1" applyFill="1" applyBorder="1" applyAlignment="1">
      <alignment horizontal="left" vertical="center" wrapText="1"/>
    </xf>
    <xf numFmtId="14" fontId="1" fillId="24" borderId="11" xfId="1" applyNumberFormat="1" applyFont="1" applyFill="1" applyBorder="1" applyAlignment="1">
      <alignment horizontal="left" vertical="center" wrapText="1"/>
    </xf>
    <xf numFmtId="0" fontId="0" fillId="0" borderId="0" xfId="0" applyFill="1"/>
    <xf numFmtId="0" fontId="0" fillId="0" borderId="0" xfId="0" applyNumberFormat="1"/>
    <xf numFmtId="44" fontId="0" fillId="0" borderId="0" xfId="44" applyFont="1"/>
    <xf numFmtId="0" fontId="0" fillId="0" borderId="1" xfId="0" applyBorder="1"/>
    <xf numFmtId="0" fontId="0" fillId="0" borderId="12" xfId="0" applyBorder="1"/>
    <xf numFmtId="0" fontId="21" fillId="0" borderId="0" xfId="0" applyFont="1"/>
    <xf numFmtId="0" fontId="21" fillId="0" borderId="0" xfId="0" applyFont="1" applyAlignment="1">
      <alignment vertical="top"/>
    </xf>
    <xf numFmtId="39" fontId="19" fillId="0" borderId="1" xfId="45" applyNumberFormat="1" applyFont="1" applyFill="1" applyBorder="1" applyAlignment="1">
      <alignment horizontal="left" vertical="top"/>
    </xf>
    <xf numFmtId="14" fontId="19" fillId="0" borderId="1" xfId="0" applyNumberFormat="1" applyFont="1" applyFill="1" applyBorder="1" applyAlignment="1">
      <alignment horizontal="right"/>
    </xf>
    <xf numFmtId="0" fontId="19" fillId="0" borderId="1" xfId="0" applyFont="1" applyFill="1" applyBorder="1"/>
    <xf numFmtId="2" fontId="19" fillId="0" borderId="1" xfId="0" applyNumberFormat="1" applyFont="1" applyFill="1" applyBorder="1" applyAlignment="1">
      <alignment horizontal="left"/>
    </xf>
    <xf numFmtId="0" fontId="19" fillId="0" borderId="1" xfId="0" applyFont="1" applyFill="1" applyBorder="1" applyAlignment="1">
      <alignment horizontal="left"/>
    </xf>
    <xf numFmtId="14" fontId="19" fillId="0" borderId="1" xfId="0" applyNumberFormat="1" applyFont="1" applyFill="1" applyBorder="1" applyAlignment="1">
      <alignment horizontal="center"/>
    </xf>
    <xf numFmtId="44" fontId="19" fillId="0" borderId="1" xfId="29" applyFont="1" applyFill="1" applyBorder="1"/>
  </cellXfs>
  <cellStyles count="46">
    <cellStyle name="20% - Accent1 2" xfId="2" xr:uid="{D25BD025-31E1-480F-B02B-048C0F83AEE3}"/>
    <cellStyle name="20% - Accent2 2" xfId="3" xr:uid="{313247A6-19CC-4E3D-970C-01FA10C9A8A5}"/>
    <cellStyle name="20% - Accent3 2" xfId="4" xr:uid="{E54D5AAD-FFB5-46EC-8B20-E9236A1B624C}"/>
    <cellStyle name="20% - Accent4 2" xfId="5" xr:uid="{182AA219-26C4-4F12-B313-A833516E52A5}"/>
    <cellStyle name="20% - Accent5 2" xfId="6" xr:uid="{53EC86A7-8B97-47BC-B4FB-752AD8E94DD1}"/>
    <cellStyle name="20% - Accent6 2" xfId="7" xr:uid="{922FC25B-7A67-432A-A322-9E42604568CA}"/>
    <cellStyle name="40% - Accent1 2" xfId="8" xr:uid="{8FB87377-17BD-4671-B9F9-3651F14C52F0}"/>
    <cellStyle name="40% - Accent2 2" xfId="9" xr:uid="{BFB52CB1-8BE3-417F-B480-5702B08032EC}"/>
    <cellStyle name="40% - Accent3 2" xfId="10" xr:uid="{3B39D04E-D47C-49DB-95D7-AAED6D0680DE}"/>
    <cellStyle name="40% - Accent4 2" xfId="11" xr:uid="{BC4A6127-A452-4850-8D2F-45840292B41A}"/>
    <cellStyle name="40% - Accent5 2" xfId="12" xr:uid="{C1D796B0-A40A-4D23-9309-9457EBDE2740}"/>
    <cellStyle name="40% - Accent6 2" xfId="13" xr:uid="{57069C3C-327E-444F-82CA-4692C741A23F}"/>
    <cellStyle name="60% - Accent1 2" xfId="14" xr:uid="{603ED9D7-172D-4E03-B4C8-5CA89D0695FE}"/>
    <cellStyle name="60% - Accent2 2" xfId="15" xr:uid="{D5C43E2E-CA8F-4BDD-BFB2-ABCE79CA5DE3}"/>
    <cellStyle name="60% - Accent3 2" xfId="16" xr:uid="{B824B84B-8E98-4981-8130-B0ED023859E6}"/>
    <cellStyle name="60% - Accent4 2" xfId="17" xr:uid="{FF1BBFF1-02ED-4ED0-831F-413115F0BA2D}"/>
    <cellStyle name="60% - Accent5 2" xfId="18" xr:uid="{04C55278-025F-44B2-AEAF-3D12355E49DF}"/>
    <cellStyle name="60% - Accent6 2" xfId="19" xr:uid="{CB3C1344-3B0A-45FE-A61C-987670075F3A}"/>
    <cellStyle name="Accent1 2" xfId="20" xr:uid="{942A8311-1E5C-4723-9DF0-00D482992422}"/>
    <cellStyle name="Accent2 2" xfId="21" xr:uid="{CB8174B0-9723-4CCD-B32A-9D288CE381BF}"/>
    <cellStyle name="Accent3 2" xfId="22" xr:uid="{EDA92DD8-AE0D-4D69-B879-042B360E5343}"/>
    <cellStyle name="Accent4 2" xfId="23" xr:uid="{1ABEE9B8-8132-4F26-9D7D-8752E8B51F1C}"/>
    <cellStyle name="Accent5 2" xfId="24" xr:uid="{6C24EAF5-7F38-42E8-B69E-8C3BA6282B67}"/>
    <cellStyle name="Accent6 2" xfId="25" xr:uid="{5CDCCBB0-C3AB-4778-8CDE-A35FC85478E2}"/>
    <cellStyle name="Bad 2" xfId="26" xr:uid="{D85F66D8-35AA-4A16-9959-0B7561429E3A}"/>
    <cellStyle name="Calculation 2" xfId="27" xr:uid="{EAC7F1BF-38A6-47EC-B196-23005C7A7AF0}"/>
    <cellStyle name="Check Cell 2" xfId="28" xr:uid="{FBDC7462-2792-48C0-B4CD-273858DC7E66}"/>
    <cellStyle name="Comma" xfId="45" builtinId="3"/>
    <cellStyle name="Currency" xfId="44" builtinId="4"/>
    <cellStyle name="Currency 2" xfId="29" xr:uid="{E2A66DA8-205F-40FD-B2A6-0D0DBB476A51}"/>
    <cellStyle name="Explanatory Text 2" xfId="30" xr:uid="{5C564A5A-7C6F-43D8-AB75-2082F9AFF2ED}"/>
    <cellStyle name="Good 2" xfId="31" xr:uid="{4FA4D5E1-FCED-44CB-B733-06CD350480B6}"/>
    <cellStyle name="Heading 1 2" xfId="32" xr:uid="{2D1A1F60-4AAD-418F-8CA1-BDEB44E166B2}"/>
    <cellStyle name="Heading 2 2" xfId="33" xr:uid="{4589B937-EDE8-4BC2-8B0C-0F64403B8DB6}"/>
    <cellStyle name="Heading 3 2" xfId="34" xr:uid="{D9F335C9-F790-4CD6-93F6-DFDD1A8A0DA7}"/>
    <cellStyle name="Heading 4 2" xfId="35" xr:uid="{692C097F-D48D-4156-8C55-AAA999A15696}"/>
    <cellStyle name="Input 2" xfId="36" xr:uid="{F5D51B4F-E3DF-48A0-B0DF-97FE6946F8E3}"/>
    <cellStyle name="Linked Cell 2" xfId="37" xr:uid="{6849D276-DC77-4D51-BD7A-4A9835D10204}"/>
    <cellStyle name="Neutral 2" xfId="38" xr:uid="{E13F321B-3B81-4939-9D0A-8F15BAF2EA2A}"/>
    <cellStyle name="Normal" xfId="0" builtinId="0"/>
    <cellStyle name="Normal 2" xfId="1" xr:uid="{A4A91653-F244-43C6-85B4-4E085F783070}"/>
    <cellStyle name="Note 2" xfId="39" xr:uid="{09C336A6-ADAF-4D92-929D-AFE7A14BBDF3}"/>
    <cellStyle name="Output 2" xfId="40" xr:uid="{924D587E-FDAD-4DD1-BB6A-BF42A1D89E0B}"/>
    <cellStyle name="Title 2" xfId="41" xr:uid="{8712A36F-0002-400A-B3FB-0FA9AF41B7DD}"/>
    <cellStyle name="Total 2" xfId="42" xr:uid="{81E90DA0-E3B0-4326-9E89-17F62047BA9D}"/>
    <cellStyle name="Warning Text 2" xfId="43" xr:uid="{8B50257E-D01E-40D1-8FB2-F0D10A4152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21B1B-44E4-4C16-8F88-DEF5335EDCD6}">
  <sheetPr codeName="Sheet1"/>
  <dimension ref="A1:R41"/>
  <sheetViews>
    <sheetView tabSelected="1" zoomScale="80" zoomScaleNormal="80" workbookViewId="0">
      <selection activeCell="A2" sqref="A2:R41"/>
    </sheetView>
  </sheetViews>
  <sheetFormatPr defaultColWidth="8.81640625" defaultRowHeight="14.5" x14ac:dyDescent="0.35"/>
  <cols>
    <col min="14" max="14" width="10" customWidth="1"/>
    <col min="15" max="15" width="11.453125" customWidth="1"/>
  </cols>
  <sheetData>
    <row r="1" spans="1:18" ht="37.5" x14ac:dyDescent="0.35">
      <c r="A1" s="9" t="s">
        <v>141</v>
      </c>
      <c r="B1" s="4" t="s">
        <v>136</v>
      </c>
      <c r="C1" s="5" t="s">
        <v>137</v>
      </c>
      <c r="D1" s="3" t="s">
        <v>144</v>
      </c>
      <c r="E1" s="3" t="s">
        <v>143</v>
      </c>
      <c r="F1" s="3" t="s">
        <v>145</v>
      </c>
      <c r="G1" s="6" t="s">
        <v>146</v>
      </c>
      <c r="H1" s="7" t="s">
        <v>138</v>
      </c>
      <c r="I1" s="3" t="s">
        <v>139</v>
      </c>
      <c r="J1" s="7" t="s">
        <v>147</v>
      </c>
      <c r="K1" s="3" t="s">
        <v>4</v>
      </c>
      <c r="L1" s="3" t="s">
        <v>5</v>
      </c>
      <c r="M1" s="7" t="s">
        <v>3</v>
      </c>
      <c r="N1" s="3" t="s">
        <v>148</v>
      </c>
      <c r="O1" s="3" t="s">
        <v>149</v>
      </c>
      <c r="P1" s="8" t="s">
        <v>140</v>
      </c>
      <c r="Q1" s="3" t="s">
        <v>12</v>
      </c>
      <c r="R1" s="9" t="s">
        <v>142</v>
      </c>
    </row>
    <row r="2" spans="1:18" x14ac:dyDescent="0.35">
      <c r="A2" s="18"/>
      <c r="B2" s="19"/>
      <c r="C2" s="19"/>
      <c r="D2" s="19"/>
      <c r="E2" s="19"/>
      <c r="F2" s="20"/>
      <c r="G2" s="20"/>
      <c r="H2" s="21"/>
      <c r="I2" s="19"/>
      <c r="J2" s="19"/>
      <c r="K2" s="19"/>
      <c r="L2" s="21"/>
      <c r="M2" s="21"/>
      <c r="N2" s="21"/>
      <c r="O2" s="17"/>
      <c r="P2" s="2"/>
      <c r="Q2" s="21"/>
      <c r="R2" s="22"/>
    </row>
    <row r="3" spans="1:18" x14ac:dyDescent="0.35">
      <c r="A3" s="18"/>
      <c r="B3" s="19"/>
      <c r="C3" s="19"/>
      <c r="D3" s="19"/>
      <c r="E3" s="19"/>
      <c r="F3" s="20"/>
      <c r="G3" s="20"/>
      <c r="H3" s="21"/>
      <c r="I3" s="19"/>
      <c r="J3" s="19"/>
      <c r="K3" s="19"/>
      <c r="L3" s="21"/>
      <c r="M3" s="21"/>
      <c r="N3" s="21"/>
      <c r="O3" s="17"/>
      <c r="P3" s="2"/>
      <c r="Q3" s="21"/>
      <c r="R3" s="22"/>
    </row>
    <row r="4" spans="1:18" x14ac:dyDescent="0.35">
      <c r="A4" s="18"/>
      <c r="B4" s="19"/>
      <c r="C4" s="19"/>
      <c r="D4" s="19"/>
      <c r="E4" s="19"/>
      <c r="F4" s="20"/>
      <c r="G4" s="20"/>
      <c r="H4" s="21"/>
      <c r="I4" s="19"/>
      <c r="J4" s="19"/>
      <c r="K4" s="19"/>
      <c r="L4" s="21"/>
      <c r="M4" s="21"/>
      <c r="N4" s="21"/>
      <c r="O4" s="17"/>
      <c r="P4" s="2"/>
      <c r="Q4" s="21"/>
      <c r="R4" s="22"/>
    </row>
    <row r="5" spans="1:18" x14ac:dyDescent="0.35">
      <c r="A5" s="18"/>
      <c r="B5" s="19"/>
      <c r="C5" s="19"/>
      <c r="D5" s="19"/>
      <c r="E5" s="19"/>
      <c r="F5" s="20"/>
      <c r="G5" s="20"/>
      <c r="H5" s="21"/>
      <c r="I5" s="19"/>
      <c r="J5" s="19"/>
      <c r="K5" s="19"/>
      <c r="L5" s="21"/>
      <c r="M5" s="21"/>
      <c r="N5" s="21"/>
      <c r="O5" s="17"/>
      <c r="P5" s="2"/>
      <c r="Q5" s="21"/>
      <c r="R5" s="22"/>
    </row>
    <row r="6" spans="1:18" x14ac:dyDescent="0.35">
      <c r="A6" s="18"/>
      <c r="B6" s="19"/>
      <c r="C6" s="19"/>
      <c r="D6" s="19"/>
      <c r="E6" s="19"/>
      <c r="F6" s="20"/>
      <c r="G6" s="20"/>
      <c r="H6" s="21"/>
      <c r="I6" s="19"/>
      <c r="J6" s="19"/>
      <c r="K6" s="19"/>
      <c r="L6" s="21"/>
      <c r="M6" s="21"/>
      <c r="N6" s="21"/>
      <c r="O6" s="17"/>
      <c r="P6" s="2"/>
      <c r="Q6" s="21"/>
      <c r="R6" s="22"/>
    </row>
    <row r="7" spans="1:18" x14ac:dyDescent="0.35">
      <c r="A7" s="18"/>
      <c r="B7" s="19"/>
      <c r="C7" s="19"/>
      <c r="D7" s="19"/>
      <c r="E7" s="19"/>
      <c r="F7" s="20"/>
      <c r="G7" s="20"/>
      <c r="H7" s="21"/>
      <c r="I7" s="19"/>
      <c r="J7" s="19"/>
      <c r="K7" s="19"/>
      <c r="L7" s="21"/>
      <c r="M7" s="21"/>
      <c r="N7" s="21"/>
      <c r="O7" s="17"/>
      <c r="P7" s="2"/>
      <c r="Q7" s="21"/>
      <c r="R7" s="22"/>
    </row>
    <row r="8" spans="1:18" x14ac:dyDescent="0.35">
      <c r="A8" s="18"/>
      <c r="B8" s="19"/>
      <c r="C8" s="19"/>
      <c r="D8" s="19"/>
      <c r="E8" s="19"/>
      <c r="F8" s="20"/>
      <c r="G8" s="20"/>
      <c r="H8" s="21"/>
      <c r="I8" s="19"/>
      <c r="J8" s="19"/>
      <c r="K8" s="19"/>
      <c r="L8" s="21"/>
      <c r="M8" s="21"/>
      <c r="N8" s="21"/>
      <c r="O8" s="17"/>
      <c r="P8" s="2"/>
      <c r="Q8" s="21"/>
      <c r="R8" s="22"/>
    </row>
    <row r="9" spans="1:18" x14ac:dyDescent="0.35">
      <c r="A9" s="18"/>
      <c r="B9" s="19"/>
      <c r="C9" s="19"/>
      <c r="D9" s="19"/>
      <c r="E9" s="19"/>
      <c r="F9" s="20"/>
      <c r="G9" s="20"/>
      <c r="H9" s="21"/>
      <c r="I9" s="19"/>
      <c r="J9" s="19"/>
      <c r="K9" s="19"/>
      <c r="L9" s="21"/>
      <c r="M9" s="21"/>
      <c r="N9" s="21"/>
      <c r="O9" s="17"/>
      <c r="P9" s="2"/>
      <c r="Q9" s="21"/>
      <c r="R9" s="22"/>
    </row>
    <row r="10" spans="1:18" x14ac:dyDescent="0.35">
      <c r="A10" s="18"/>
      <c r="B10" s="19"/>
      <c r="C10" s="19"/>
      <c r="D10" s="19"/>
      <c r="E10" s="19"/>
      <c r="F10" s="20"/>
      <c r="G10" s="20"/>
      <c r="H10" s="21"/>
      <c r="I10" s="19"/>
      <c r="J10" s="19"/>
      <c r="K10" s="19"/>
      <c r="L10" s="21"/>
      <c r="M10" s="21"/>
      <c r="N10" s="21"/>
      <c r="O10" s="17"/>
      <c r="P10" s="2"/>
      <c r="Q10" s="21"/>
      <c r="R10" s="22"/>
    </row>
    <row r="11" spans="1:18" x14ac:dyDescent="0.35">
      <c r="A11" s="18"/>
      <c r="B11" s="19"/>
      <c r="C11" s="19"/>
      <c r="D11" s="19"/>
      <c r="E11" s="19"/>
      <c r="F11" s="20"/>
      <c r="G11" s="20"/>
      <c r="H11" s="21"/>
      <c r="I11" s="19"/>
      <c r="J11" s="19"/>
      <c r="K11" s="19"/>
      <c r="L11" s="21"/>
      <c r="M11" s="21"/>
      <c r="N11" s="21"/>
      <c r="O11" s="17"/>
      <c r="P11" s="2"/>
      <c r="Q11" s="21"/>
      <c r="R11" s="22"/>
    </row>
    <row r="12" spans="1:18" x14ac:dyDescent="0.35">
      <c r="A12" s="18"/>
      <c r="B12" s="19"/>
      <c r="C12" s="19"/>
      <c r="D12" s="19"/>
      <c r="E12" s="19"/>
      <c r="F12" s="20"/>
      <c r="G12" s="20"/>
      <c r="H12" s="21"/>
      <c r="I12" s="19"/>
      <c r="J12" s="19"/>
      <c r="K12" s="19"/>
      <c r="L12" s="21"/>
      <c r="M12" s="21"/>
      <c r="N12" s="21"/>
      <c r="O12" s="17"/>
      <c r="P12" s="2"/>
      <c r="Q12" s="21"/>
      <c r="R12" s="22"/>
    </row>
    <row r="13" spans="1:18" x14ac:dyDescent="0.35">
      <c r="A13" s="18"/>
      <c r="B13" s="19"/>
      <c r="C13" s="19"/>
      <c r="D13" s="19"/>
      <c r="E13" s="19"/>
      <c r="F13" s="20"/>
      <c r="G13" s="20"/>
      <c r="H13" s="21"/>
      <c r="I13" s="19"/>
      <c r="J13" s="19"/>
      <c r="K13" s="19"/>
      <c r="L13" s="21"/>
      <c r="M13" s="21"/>
      <c r="N13" s="21"/>
      <c r="O13" s="17"/>
      <c r="P13" s="2"/>
      <c r="Q13" s="21"/>
      <c r="R13" s="22"/>
    </row>
    <row r="14" spans="1:18" x14ac:dyDescent="0.35">
      <c r="A14" s="18"/>
      <c r="B14" s="19"/>
      <c r="C14" s="19"/>
      <c r="D14" s="19"/>
      <c r="E14" s="19"/>
      <c r="F14" s="20"/>
      <c r="G14" s="20"/>
      <c r="H14" s="21"/>
      <c r="I14" s="19"/>
      <c r="J14" s="19"/>
      <c r="K14" s="19"/>
      <c r="L14" s="21"/>
      <c r="M14" s="21"/>
      <c r="N14" s="21"/>
      <c r="O14" s="17"/>
      <c r="P14" s="2"/>
      <c r="Q14" s="21"/>
      <c r="R14" s="22"/>
    </row>
    <row r="15" spans="1:18" x14ac:dyDescent="0.35">
      <c r="A15" s="18"/>
      <c r="B15" s="19"/>
      <c r="C15" s="19"/>
      <c r="D15" s="19"/>
      <c r="E15" s="19"/>
      <c r="F15" s="20"/>
      <c r="G15" s="20"/>
      <c r="H15" s="21"/>
      <c r="I15" s="19"/>
      <c r="J15" s="19"/>
      <c r="K15" s="19"/>
      <c r="L15" s="21"/>
      <c r="M15" s="21"/>
      <c r="N15" s="21"/>
      <c r="O15" s="17"/>
      <c r="P15" s="2"/>
      <c r="Q15" s="21"/>
      <c r="R15" s="22"/>
    </row>
    <row r="16" spans="1:18" x14ac:dyDescent="0.35">
      <c r="A16" s="18"/>
      <c r="B16" s="19"/>
      <c r="C16" s="19"/>
      <c r="D16" s="19"/>
      <c r="E16" s="19"/>
      <c r="F16" s="20"/>
      <c r="G16" s="20"/>
      <c r="H16" s="21"/>
      <c r="I16" s="19"/>
      <c r="J16" s="19"/>
      <c r="K16" s="19"/>
      <c r="L16" s="21"/>
      <c r="M16" s="21"/>
      <c r="N16" s="21"/>
      <c r="O16" s="17"/>
      <c r="P16" s="2"/>
      <c r="Q16" s="21"/>
      <c r="R16" s="22"/>
    </row>
    <row r="17" spans="1:18" x14ac:dyDescent="0.35">
      <c r="A17" s="18"/>
      <c r="B17" s="19"/>
      <c r="C17" s="19"/>
      <c r="D17" s="19"/>
      <c r="E17" s="19"/>
      <c r="F17" s="20"/>
      <c r="G17" s="20"/>
      <c r="H17" s="21"/>
      <c r="I17" s="19"/>
      <c r="J17" s="19"/>
      <c r="K17" s="19"/>
      <c r="L17" s="21"/>
      <c r="M17" s="21"/>
      <c r="N17" s="21"/>
      <c r="O17" s="17"/>
      <c r="P17" s="2"/>
      <c r="Q17" s="21"/>
      <c r="R17" s="22"/>
    </row>
    <row r="18" spans="1:18" x14ac:dyDescent="0.35">
      <c r="A18" s="18"/>
      <c r="B18" s="19"/>
      <c r="C18" s="19"/>
      <c r="D18" s="19"/>
      <c r="E18" s="19"/>
      <c r="F18" s="20"/>
      <c r="G18" s="20"/>
      <c r="H18" s="21"/>
      <c r="I18" s="19"/>
      <c r="J18" s="19"/>
      <c r="K18" s="19"/>
      <c r="L18" s="21"/>
      <c r="M18" s="21"/>
      <c r="N18" s="21"/>
      <c r="O18" s="17"/>
      <c r="P18" s="2"/>
      <c r="Q18" s="21"/>
      <c r="R18" s="22"/>
    </row>
    <row r="19" spans="1:18" x14ac:dyDescent="0.35">
      <c r="A19" s="18"/>
      <c r="B19" s="19"/>
      <c r="C19" s="19"/>
      <c r="D19" s="19"/>
      <c r="E19" s="19"/>
      <c r="F19" s="20"/>
      <c r="G19" s="20"/>
      <c r="H19" s="21"/>
      <c r="I19" s="19"/>
      <c r="J19" s="19"/>
      <c r="K19" s="19"/>
      <c r="L19" s="21"/>
      <c r="M19" s="21"/>
      <c r="N19" s="21"/>
      <c r="O19" s="17"/>
      <c r="P19" s="2"/>
      <c r="Q19" s="21"/>
      <c r="R19" s="22"/>
    </row>
    <row r="20" spans="1:18" x14ac:dyDescent="0.35">
      <c r="A20" s="18"/>
      <c r="B20" s="19"/>
      <c r="C20" s="19"/>
      <c r="D20" s="19"/>
      <c r="E20" s="19"/>
      <c r="F20" s="20"/>
      <c r="G20" s="20"/>
      <c r="H20" s="21"/>
      <c r="I20" s="19"/>
      <c r="J20" s="19"/>
      <c r="K20" s="19"/>
      <c r="L20" s="21"/>
      <c r="M20" s="21"/>
      <c r="N20" s="21"/>
      <c r="O20" s="17"/>
      <c r="P20" s="2"/>
      <c r="Q20" s="21"/>
      <c r="R20" s="22"/>
    </row>
    <row r="21" spans="1:18" x14ac:dyDescent="0.35">
      <c r="A21" s="18"/>
      <c r="B21" s="21"/>
      <c r="C21" s="19"/>
      <c r="D21" s="19"/>
      <c r="E21" s="19"/>
      <c r="F21" s="20"/>
      <c r="G21" s="20"/>
      <c r="H21" s="21"/>
      <c r="I21" s="19"/>
      <c r="J21" s="19"/>
      <c r="K21" s="19"/>
      <c r="L21" s="19"/>
      <c r="M21" s="21"/>
      <c r="N21" s="21"/>
      <c r="O21" s="17"/>
      <c r="P21" s="23"/>
      <c r="Q21" s="21"/>
      <c r="R21" s="22"/>
    </row>
    <row r="22" spans="1:18" x14ac:dyDescent="0.35">
      <c r="A22" s="18"/>
      <c r="B22" s="19"/>
      <c r="C22" s="19"/>
      <c r="D22" s="19"/>
      <c r="E22" s="19"/>
      <c r="F22" s="20"/>
      <c r="G22" s="20"/>
      <c r="H22" s="21"/>
      <c r="I22" s="19"/>
      <c r="J22" s="19"/>
      <c r="K22" s="19"/>
      <c r="L22" s="21"/>
      <c r="M22" s="21"/>
      <c r="N22" s="21"/>
      <c r="O22" s="17"/>
      <c r="P22" s="2"/>
      <c r="Q22" s="21"/>
      <c r="R22" s="22"/>
    </row>
    <row r="23" spans="1:18" x14ac:dyDescent="0.35">
      <c r="A23" s="18"/>
      <c r="B23" s="19"/>
      <c r="C23" s="19"/>
      <c r="D23" s="19"/>
      <c r="E23" s="19"/>
      <c r="F23" s="20"/>
      <c r="G23" s="20"/>
      <c r="H23" s="21"/>
      <c r="I23" s="19"/>
      <c r="J23" s="19"/>
      <c r="K23" s="19"/>
      <c r="L23" s="21"/>
      <c r="M23" s="21"/>
      <c r="N23" s="21"/>
      <c r="O23" s="17"/>
      <c r="P23" s="2"/>
      <c r="Q23" s="21"/>
      <c r="R23" s="22"/>
    </row>
    <row r="24" spans="1:18" x14ac:dyDescent="0.35">
      <c r="A24" s="18"/>
      <c r="B24" s="19"/>
      <c r="C24" s="19"/>
      <c r="D24" s="19"/>
      <c r="E24" s="19"/>
      <c r="F24" s="20"/>
      <c r="G24" s="20"/>
      <c r="H24" s="21"/>
      <c r="I24" s="19"/>
      <c r="J24" s="19"/>
      <c r="K24" s="19"/>
      <c r="L24" s="21"/>
      <c r="M24" s="21"/>
      <c r="N24" s="21"/>
      <c r="O24" s="17"/>
      <c r="P24" s="2"/>
      <c r="Q24" s="21"/>
      <c r="R24" s="22"/>
    </row>
    <row r="25" spans="1:18" x14ac:dyDescent="0.35">
      <c r="A25" s="18"/>
      <c r="B25" s="19"/>
      <c r="C25" s="19"/>
      <c r="D25" s="19"/>
      <c r="E25" s="19"/>
      <c r="F25" s="20"/>
      <c r="G25" s="20"/>
      <c r="H25" s="21"/>
      <c r="I25" s="19"/>
      <c r="J25" s="19"/>
      <c r="K25" s="19"/>
      <c r="L25" s="21"/>
      <c r="M25" s="21"/>
      <c r="N25" s="21"/>
      <c r="O25" s="17"/>
      <c r="P25" s="2"/>
      <c r="Q25" s="21"/>
      <c r="R25" s="22"/>
    </row>
    <row r="26" spans="1:18" x14ac:dyDescent="0.35">
      <c r="A26" s="18"/>
      <c r="B26" s="19"/>
      <c r="C26" s="19"/>
      <c r="D26" s="19"/>
      <c r="E26" s="19"/>
      <c r="F26" s="20"/>
      <c r="G26" s="20"/>
      <c r="H26" s="21"/>
      <c r="I26" s="19"/>
      <c r="J26" s="19"/>
      <c r="K26" s="19"/>
      <c r="L26" s="21"/>
      <c r="M26" s="21"/>
      <c r="N26" s="21"/>
      <c r="O26" s="17"/>
      <c r="P26" s="2"/>
      <c r="Q26" s="21"/>
      <c r="R26" s="22"/>
    </row>
    <row r="27" spans="1:18" x14ac:dyDescent="0.35">
      <c r="A27" s="18"/>
      <c r="B27" s="19"/>
      <c r="C27" s="19"/>
      <c r="D27" s="19"/>
      <c r="E27" s="19"/>
      <c r="F27" s="20"/>
      <c r="G27" s="20"/>
      <c r="H27" s="21"/>
      <c r="I27" s="19"/>
      <c r="J27" s="19"/>
      <c r="K27" s="19"/>
      <c r="L27" s="21"/>
      <c r="M27" s="21"/>
      <c r="N27" s="21"/>
      <c r="O27" s="17"/>
      <c r="P27" s="2"/>
      <c r="Q27" s="21"/>
      <c r="R27" s="22"/>
    </row>
    <row r="28" spans="1:18" x14ac:dyDescent="0.35">
      <c r="A28" s="18"/>
      <c r="B28" s="19"/>
      <c r="C28" s="19"/>
      <c r="D28" s="19"/>
      <c r="E28" s="19"/>
      <c r="F28" s="20"/>
      <c r="G28" s="20"/>
      <c r="H28" s="21"/>
      <c r="I28" s="19"/>
      <c r="J28" s="19"/>
      <c r="K28" s="19"/>
      <c r="L28" s="21"/>
      <c r="M28" s="21"/>
      <c r="N28" s="21"/>
      <c r="O28" s="17"/>
      <c r="P28" s="2"/>
      <c r="Q28" s="21"/>
      <c r="R28" s="22"/>
    </row>
    <row r="29" spans="1:18" x14ac:dyDescent="0.35">
      <c r="A29" s="18"/>
      <c r="B29" s="19"/>
      <c r="C29" s="19"/>
      <c r="D29" s="19"/>
      <c r="E29" s="19"/>
      <c r="F29" s="20"/>
      <c r="G29" s="20"/>
      <c r="H29" s="21"/>
      <c r="I29" s="19"/>
      <c r="J29" s="19"/>
      <c r="K29" s="19"/>
      <c r="L29" s="19"/>
      <c r="M29" s="21"/>
      <c r="N29" s="19"/>
      <c r="O29" s="17"/>
      <c r="P29" s="23"/>
      <c r="Q29" s="21"/>
      <c r="R29" s="22"/>
    </row>
    <row r="30" spans="1:18" x14ac:dyDescent="0.35">
      <c r="A30" s="18"/>
      <c r="B30" s="19"/>
      <c r="C30" s="19"/>
      <c r="D30" s="19"/>
      <c r="E30" s="19"/>
      <c r="F30" s="20"/>
      <c r="G30" s="20"/>
      <c r="H30" s="21"/>
      <c r="I30" s="19"/>
      <c r="J30" s="19"/>
      <c r="K30" s="19"/>
      <c r="L30" s="21"/>
      <c r="M30" s="21"/>
      <c r="N30" s="21"/>
      <c r="O30" s="17"/>
      <c r="P30" s="2"/>
      <c r="Q30" s="21"/>
      <c r="R30" s="22"/>
    </row>
    <row r="31" spans="1:18" x14ac:dyDescent="0.35">
      <c r="A31" s="18"/>
      <c r="B31" s="19"/>
      <c r="C31" s="19"/>
      <c r="D31" s="19"/>
      <c r="E31" s="19"/>
      <c r="F31" s="20"/>
      <c r="G31" s="20"/>
      <c r="H31" s="21"/>
      <c r="I31" s="19"/>
      <c r="J31" s="19"/>
      <c r="K31" s="19"/>
      <c r="L31" s="21"/>
      <c r="M31" s="21"/>
      <c r="N31" s="21"/>
      <c r="O31" s="17"/>
      <c r="P31" s="2"/>
      <c r="Q31" s="21"/>
      <c r="R31" s="22"/>
    </row>
    <row r="32" spans="1:18" x14ac:dyDescent="0.35">
      <c r="A32" s="18"/>
      <c r="B32" s="19"/>
      <c r="C32" s="19"/>
      <c r="D32" s="19"/>
      <c r="E32" s="19"/>
      <c r="F32" s="20"/>
      <c r="G32" s="20"/>
      <c r="H32" s="21"/>
      <c r="I32" s="19"/>
      <c r="J32" s="19"/>
      <c r="K32" s="19"/>
      <c r="L32" s="21"/>
      <c r="M32" s="21"/>
      <c r="N32" s="21"/>
      <c r="O32" s="17"/>
      <c r="P32" s="2"/>
      <c r="Q32" s="21"/>
      <c r="R32" s="22"/>
    </row>
    <row r="33" spans="1:18" x14ac:dyDescent="0.35">
      <c r="A33" s="18"/>
      <c r="B33" s="19"/>
      <c r="C33" s="19"/>
      <c r="D33" s="19"/>
      <c r="E33" s="19"/>
      <c r="F33" s="20"/>
      <c r="G33" s="20"/>
      <c r="H33" s="21"/>
      <c r="I33" s="19"/>
      <c r="J33" s="19"/>
      <c r="K33" s="19"/>
      <c r="L33" s="21"/>
      <c r="M33" s="21"/>
      <c r="N33" s="21"/>
      <c r="O33" s="17"/>
      <c r="P33" s="2"/>
      <c r="Q33" s="21"/>
      <c r="R33" s="22"/>
    </row>
    <row r="34" spans="1:18" x14ac:dyDescent="0.35">
      <c r="A34" s="18"/>
      <c r="B34" s="19"/>
      <c r="C34" s="19"/>
      <c r="D34" s="19"/>
      <c r="E34" s="19"/>
      <c r="F34" s="20"/>
      <c r="G34" s="20"/>
      <c r="H34" s="21"/>
      <c r="I34" s="19"/>
      <c r="J34" s="19"/>
      <c r="K34" s="19"/>
      <c r="L34" s="21"/>
      <c r="M34" s="21"/>
      <c r="N34" s="21"/>
      <c r="O34" s="17"/>
      <c r="P34" s="2"/>
      <c r="Q34" s="21"/>
      <c r="R34" s="22"/>
    </row>
    <row r="35" spans="1:18" x14ac:dyDescent="0.35">
      <c r="A35" s="18"/>
      <c r="B35" s="19"/>
      <c r="C35" s="19"/>
      <c r="D35" s="19"/>
      <c r="E35" s="19"/>
      <c r="F35" s="20"/>
      <c r="G35" s="20"/>
      <c r="H35" s="21"/>
      <c r="I35" s="19"/>
      <c r="J35" s="19"/>
      <c r="K35" s="19"/>
      <c r="L35" s="21"/>
      <c r="M35" s="21"/>
      <c r="N35" s="21"/>
      <c r="O35" s="17"/>
      <c r="P35" s="2"/>
      <c r="Q35" s="21"/>
      <c r="R35" s="22"/>
    </row>
    <row r="36" spans="1:18" x14ac:dyDescent="0.35">
      <c r="A36" s="18"/>
      <c r="B36" s="19"/>
      <c r="C36" s="19"/>
      <c r="D36" s="19"/>
      <c r="E36" s="19"/>
      <c r="F36" s="20"/>
      <c r="G36" s="20"/>
      <c r="H36" s="21"/>
      <c r="I36" s="19"/>
      <c r="J36" s="19"/>
      <c r="K36" s="19"/>
      <c r="L36" s="21"/>
      <c r="M36" s="21"/>
      <c r="N36" s="21"/>
      <c r="O36" s="17"/>
      <c r="P36" s="2"/>
      <c r="Q36" s="21"/>
      <c r="R36" s="22"/>
    </row>
    <row r="37" spans="1:18" x14ac:dyDescent="0.35">
      <c r="A37" s="18"/>
      <c r="B37" s="19"/>
      <c r="C37" s="19"/>
      <c r="D37" s="19"/>
      <c r="E37" s="19"/>
      <c r="F37" s="20"/>
      <c r="G37" s="20"/>
      <c r="H37" s="21"/>
      <c r="I37" s="19"/>
      <c r="J37" s="19"/>
      <c r="K37" s="19"/>
      <c r="L37" s="21"/>
      <c r="M37" s="21"/>
      <c r="N37" s="21"/>
      <c r="O37" s="17"/>
      <c r="P37" s="2"/>
      <c r="Q37" s="21"/>
      <c r="R37" s="22"/>
    </row>
    <row r="38" spans="1:18" x14ac:dyDescent="0.35">
      <c r="A38" s="18"/>
      <c r="B38" s="19"/>
      <c r="C38" s="19"/>
      <c r="D38" s="19"/>
      <c r="E38" s="19"/>
      <c r="F38" s="20"/>
      <c r="G38" s="20"/>
      <c r="H38" s="21"/>
      <c r="I38" s="19"/>
      <c r="J38" s="19"/>
      <c r="K38" s="19"/>
      <c r="L38" s="21"/>
      <c r="M38" s="21"/>
      <c r="N38" s="21"/>
      <c r="O38" s="17"/>
      <c r="P38" s="2"/>
      <c r="Q38" s="21"/>
      <c r="R38" s="22"/>
    </row>
    <row r="39" spans="1:18" x14ac:dyDescent="0.35">
      <c r="A39" s="18"/>
      <c r="B39" s="19"/>
      <c r="C39" s="19"/>
      <c r="D39" s="19"/>
      <c r="E39" s="19"/>
      <c r="F39" s="20"/>
      <c r="G39" s="20"/>
      <c r="H39" s="21"/>
      <c r="I39" s="19"/>
      <c r="J39" s="19"/>
      <c r="K39" s="19"/>
      <c r="L39" s="21"/>
      <c r="M39" s="21"/>
      <c r="N39" s="21"/>
      <c r="O39" s="17"/>
      <c r="P39" s="2"/>
      <c r="Q39" s="21"/>
      <c r="R39" s="22"/>
    </row>
    <row r="40" spans="1:18" x14ac:dyDescent="0.35">
      <c r="A40" s="18"/>
      <c r="B40" s="19"/>
      <c r="C40" s="19"/>
      <c r="D40" s="19"/>
      <c r="E40" s="19"/>
      <c r="F40" s="20"/>
      <c r="G40" s="20"/>
      <c r="H40" s="21"/>
      <c r="I40" s="19"/>
      <c r="J40" s="19"/>
      <c r="K40" s="19"/>
      <c r="L40" s="21"/>
      <c r="M40" s="21"/>
      <c r="N40" s="21"/>
      <c r="O40" s="17"/>
      <c r="P40" s="2"/>
      <c r="Q40" s="21"/>
      <c r="R40" s="22"/>
    </row>
    <row r="41" spans="1:18" x14ac:dyDescent="0.35">
      <c r="A41" s="18"/>
      <c r="B41" s="19"/>
      <c r="C41" s="19"/>
      <c r="D41" s="19"/>
      <c r="E41" s="19"/>
      <c r="F41" s="20"/>
      <c r="G41" s="20"/>
      <c r="H41" s="21"/>
      <c r="I41" s="19"/>
      <c r="J41" s="19"/>
      <c r="K41" s="19"/>
      <c r="L41" s="21"/>
      <c r="M41" s="21"/>
      <c r="N41" s="21"/>
      <c r="O41" s="17"/>
      <c r="P41" s="2"/>
      <c r="Q41" s="21"/>
      <c r="R41" s="2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1F229-94C0-4F1D-A533-EF67CAFAEEC0}">
  <sheetPr codeName="Sheet4"/>
  <dimension ref="A1:HQ151"/>
  <sheetViews>
    <sheetView zoomScale="60" zoomScaleNormal="60" workbookViewId="0">
      <selection activeCell="GY3" sqref="GY3"/>
    </sheetView>
  </sheetViews>
  <sheetFormatPr defaultColWidth="8.81640625" defaultRowHeight="14.5" x14ac:dyDescent="0.35"/>
  <cols>
    <col min="1" max="1" width="11.1796875" bestFit="1" customWidth="1"/>
    <col min="2" max="2" width="16" bestFit="1" customWidth="1"/>
    <col min="3" max="3" width="11.453125" bestFit="1" customWidth="1"/>
    <col min="4" max="4" width="10.81640625" bestFit="1" customWidth="1"/>
    <col min="5" max="5" width="11.81640625" bestFit="1" customWidth="1"/>
    <col min="6" max="6" width="12.36328125" bestFit="1" customWidth="1"/>
    <col min="7" max="7" width="12.453125" bestFit="1" customWidth="1"/>
    <col min="8" max="8" width="15.36328125" bestFit="1" customWidth="1"/>
    <col min="9" max="9" width="17" bestFit="1" customWidth="1"/>
    <col min="10" max="10" width="27.6328125" bestFit="1" customWidth="1"/>
    <col min="11" max="11" width="10.36328125" bestFit="1" customWidth="1"/>
    <col min="12" max="12" width="8.6328125" bestFit="1" customWidth="1"/>
    <col min="13" max="13" width="13.453125" bestFit="1" customWidth="1"/>
    <col min="14" max="14" width="6" bestFit="1" customWidth="1"/>
    <col min="15" max="15" width="10.81640625" bestFit="1" customWidth="1"/>
    <col min="16" max="16" width="12.81640625" bestFit="1" customWidth="1"/>
    <col min="17" max="17" width="6.1796875" bestFit="1" customWidth="1"/>
    <col min="18" max="18" width="12.453125" bestFit="1" customWidth="1"/>
    <col min="19" max="19" width="12.6328125" bestFit="1" customWidth="1"/>
    <col min="20" max="20" width="7.453125" bestFit="1" customWidth="1"/>
    <col min="21" max="21" width="7.81640625" bestFit="1" customWidth="1"/>
    <col min="22" max="22" width="20.1796875" bestFit="1" customWidth="1"/>
    <col min="23" max="23" width="18.1796875" bestFit="1" customWidth="1"/>
    <col min="24" max="24" width="20.453125" bestFit="1" customWidth="1"/>
    <col min="25" max="25" width="12.81640625" bestFit="1" customWidth="1"/>
    <col min="26" max="26" width="12.453125" bestFit="1" customWidth="1"/>
    <col min="27" max="27" width="10.1796875" bestFit="1" customWidth="1"/>
    <col min="28" max="28" width="15" bestFit="1" customWidth="1"/>
    <col min="29" max="29" width="9.36328125" style="11" bestFit="1" customWidth="1"/>
    <col min="30" max="30" width="2.1796875" customWidth="1"/>
    <col min="31" max="31" width="10.453125" hidden="1" customWidth="1"/>
    <col min="32" max="32" width="12.81640625" hidden="1" customWidth="1"/>
    <col min="33" max="33" width="13.1796875" hidden="1" customWidth="1"/>
    <col min="34" max="34" width="12.6328125" hidden="1" customWidth="1"/>
    <col min="35" max="35" width="9.81640625" hidden="1" customWidth="1"/>
    <col min="36" max="36" width="14.81640625" bestFit="1" customWidth="1"/>
    <col min="37" max="37" width="15.1796875" bestFit="1" customWidth="1"/>
    <col min="38" max="38" width="9.453125" bestFit="1" customWidth="1"/>
    <col min="39" max="39" width="10.81640625" bestFit="1" customWidth="1"/>
    <col min="40" max="40" width="8.1796875" bestFit="1" customWidth="1"/>
    <col min="41" max="41" width="10.81640625" bestFit="1" customWidth="1"/>
    <col min="43" max="43" width="12.1796875" bestFit="1" customWidth="1"/>
    <col min="44" max="44" width="12.453125" bestFit="1" customWidth="1"/>
    <col min="45" max="45" width="14" bestFit="1" customWidth="1"/>
    <col min="46" max="46" width="10.453125" bestFit="1" customWidth="1"/>
    <col min="47" max="47" width="16.453125" bestFit="1" customWidth="1"/>
    <col min="48" max="48" width="15.1796875" bestFit="1" customWidth="1"/>
    <col min="49" max="49" width="15.81640625" bestFit="1" customWidth="1"/>
    <col min="50" max="50" width="14.1796875" bestFit="1" customWidth="1"/>
    <col min="51" max="51" width="18.6328125" bestFit="1" customWidth="1"/>
    <col min="52" max="52" width="19.453125" bestFit="1" customWidth="1"/>
    <col min="53" max="53" width="31" bestFit="1" customWidth="1"/>
    <col min="54" max="54" width="18.81640625" bestFit="1" customWidth="1"/>
    <col min="55" max="55" width="19.453125" bestFit="1" customWidth="1"/>
    <col min="56" max="56" width="31.453125" bestFit="1" customWidth="1"/>
    <col min="57" max="57" width="7.81640625" bestFit="1" customWidth="1"/>
    <col min="58" max="58" width="10.453125" bestFit="1" customWidth="1"/>
    <col min="59" max="59" width="10.6328125" bestFit="1" customWidth="1"/>
    <col min="60" max="60" width="11.453125" bestFit="1" customWidth="1"/>
    <col min="61" max="61" width="14.36328125" bestFit="1" customWidth="1"/>
    <col min="62" max="62" width="14.453125" bestFit="1" customWidth="1"/>
    <col min="63" max="67" width="12" bestFit="1" customWidth="1"/>
    <col min="68" max="68" width="9.453125" bestFit="1" customWidth="1"/>
    <col min="69" max="69" width="25.81640625" bestFit="1" customWidth="1"/>
    <col min="70" max="70" width="24.81640625" bestFit="1" customWidth="1"/>
    <col min="74" max="74" width="15.36328125" bestFit="1" customWidth="1"/>
    <col min="76" max="76" width="10.6328125" bestFit="1" customWidth="1"/>
    <col min="77" max="77" width="13.81640625" bestFit="1" customWidth="1"/>
    <col min="78" max="78" width="13.453125" bestFit="1" customWidth="1"/>
    <col min="79" max="79" width="9.453125" bestFit="1" customWidth="1"/>
    <col min="80" max="80" width="16" bestFit="1" customWidth="1"/>
    <col min="81" max="81" width="27.81640625" bestFit="1" customWidth="1"/>
    <col min="82" max="82" width="30.453125" bestFit="1" customWidth="1"/>
    <col min="83" max="83" width="25.1796875" bestFit="1" customWidth="1"/>
    <col min="84" max="84" width="27.81640625" bestFit="1" customWidth="1"/>
    <col min="85" max="85" width="30.453125" bestFit="1" customWidth="1"/>
    <col min="86" max="86" width="16.81640625" bestFit="1" customWidth="1"/>
    <col min="87" max="87" width="10.81640625" bestFit="1" customWidth="1"/>
    <col min="88" max="88" width="8.6328125" bestFit="1" customWidth="1"/>
    <col min="89" max="89" width="20.81640625" bestFit="1" customWidth="1"/>
    <col min="90" max="90" width="18.1796875" bestFit="1" customWidth="1"/>
    <col min="91" max="91" width="20.81640625" bestFit="1" customWidth="1"/>
    <col min="92" max="92" width="20" bestFit="1" customWidth="1"/>
    <col min="93" max="93" width="22.81640625" bestFit="1" customWidth="1"/>
    <col min="94" max="94" width="22.1796875" bestFit="1" customWidth="1"/>
    <col min="95" max="95" width="19.81640625" bestFit="1" customWidth="1"/>
    <col min="96" max="96" width="20" bestFit="1" customWidth="1"/>
    <col min="97" max="97" width="23.1796875" bestFit="1" customWidth="1"/>
    <col min="98" max="98" width="22.1796875" bestFit="1" customWidth="1"/>
    <col min="99" max="99" width="19.81640625" bestFit="1" customWidth="1"/>
    <col min="100" max="100" width="13.1796875" bestFit="1" customWidth="1"/>
    <col min="101" max="101" width="11.81640625" bestFit="1" customWidth="1"/>
    <col min="102" max="102" width="12.1796875" bestFit="1" customWidth="1"/>
    <col min="103" max="103" width="13.81640625" bestFit="1" customWidth="1"/>
    <col min="104" max="104" width="15.6328125" bestFit="1" customWidth="1"/>
    <col min="105" max="105" width="15.81640625" bestFit="1" customWidth="1"/>
    <col min="106" max="106" width="13.81640625" bestFit="1" customWidth="1"/>
    <col min="107" max="107" width="14.36328125" bestFit="1" customWidth="1"/>
    <col min="108" max="116" width="13.453125" bestFit="1" customWidth="1"/>
    <col min="117" max="117" width="14.453125" bestFit="1" customWidth="1"/>
    <col min="118" max="118" width="18.36328125" bestFit="1" customWidth="1"/>
    <col min="119" max="119" width="17.1796875" bestFit="1" customWidth="1"/>
    <col min="120" max="120" width="16.1796875" bestFit="1" customWidth="1"/>
    <col min="121" max="121" width="16.453125" bestFit="1" customWidth="1"/>
    <col min="122" max="122" width="8" bestFit="1" customWidth="1"/>
    <col min="123" max="123" width="9.36328125" bestFit="1" customWidth="1"/>
    <col min="124" max="124" width="12" bestFit="1" customWidth="1"/>
    <col min="125" max="125" width="16" bestFit="1" customWidth="1"/>
    <col min="126" max="126" width="19.1796875" bestFit="1" customWidth="1"/>
    <col min="127" max="127" width="13.453125" bestFit="1" customWidth="1"/>
    <col min="128" max="128" width="16.36328125" bestFit="1" customWidth="1"/>
    <col min="129" max="129" width="20.1796875" bestFit="1" customWidth="1"/>
    <col min="130" max="130" width="20.453125" bestFit="1" customWidth="1"/>
    <col min="131" max="135" width="17.36328125" bestFit="1" customWidth="1"/>
    <col min="136" max="140" width="16.1796875" bestFit="1" customWidth="1"/>
    <col min="141" max="145" width="20.1796875" bestFit="1" customWidth="1"/>
    <col min="146" max="150" width="15.81640625" bestFit="1" customWidth="1"/>
    <col min="151" max="155" width="12.453125" bestFit="1" customWidth="1"/>
    <col min="156" max="160" width="17" bestFit="1" customWidth="1"/>
    <col min="161" max="161" width="18.453125" bestFit="1" customWidth="1"/>
    <col min="162" max="163" width="12" bestFit="1" customWidth="1"/>
    <col min="164" max="164" width="12.453125" bestFit="1" customWidth="1"/>
    <col min="165" max="165" width="10.1796875" bestFit="1" customWidth="1"/>
    <col min="166" max="166" width="12" bestFit="1" customWidth="1"/>
    <col min="167" max="167" width="21.81640625" bestFit="1" customWidth="1"/>
    <col min="168" max="168" width="22.81640625" bestFit="1" customWidth="1"/>
    <col min="169" max="169" width="19.81640625" bestFit="1" customWidth="1"/>
    <col min="170" max="170" width="11.36328125" bestFit="1" customWidth="1"/>
    <col min="171" max="171" width="12.1796875" bestFit="1" customWidth="1"/>
    <col min="172" max="172" width="11.36328125" bestFit="1" customWidth="1"/>
    <col min="173" max="173" width="12.1796875" bestFit="1" customWidth="1"/>
    <col min="174" max="174" width="8.1796875" bestFit="1" customWidth="1"/>
    <col min="175" max="175" width="11.1796875" bestFit="1" customWidth="1"/>
    <col min="176" max="176" width="14.36328125" bestFit="1" customWidth="1"/>
    <col min="177" max="177" width="13.1796875" bestFit="1" customWidth="1"/>
    <col min="178" max="178" width="12.6328125" bestFit="1" customWidth="1"/>
    <col min="179" max="179" width="13.36328125" bestFit="1" customWidth="1"/>
    <col min="180" max="180" width="15.453125" bestFit="1" customWidth="1"/>
    <col min="181" max="181" width="19.6328125" bestFit="1" customWidth="1"/>
    <col min="182" max="182" width="6.1796875" bestFit="1" customWidth="1"/>
    <col min="183" max="183" width="6.81640625" bestFit="1" customWidth="1"/>
    <col min="184" max="184" width="16.1796875" bestFit="1" customWidth="1"/>
    <col min="185" max="185" width="18.81640625" bestFit="1" customWidth="1"/>
    <col min="186" max="186" width="14.81640625" bestFit="1" customWidth="1"/>
    <col min="187" max="187" width="15.6328125" bestFit="1" customWidth="1"/>
    <col min="188" max="188" width="16.1796875" bestFit="1" customWidth="1"/>
    <col min="189" max="189" width="18.81640625" bestFit="1" customWidth="1"/>
    <col min="190" max="190" width="14.81640625" bestFit="1" customWidth="1"/>
    <col min="191" max="191" width="15.6328125" bestFit="1" customWidth="1"/>
    <col min="192" max="192" width="14.36328125" bestFit="1" customWidth="1"/>
    <col min="193" max="193" width="20.81640625" bestFit="1" customWidth="1"/>
    <col min="194" max="194" width="26.453125" bestFit="1" customWidth="1"/>
    <col min="195" max="195" width="17" bestFit="1" customWidth="1"/>
    <col min="196" max="197" width="13.453125" bestFit="1" customWidth="1"/>
    <col min="198" max="198" width="14" bestFit="1" customWidth="1"/>
    <col min="199" max="199" width="18.6328125" bestFit="1" customWidth="1"/>
    <col min="200" max="200" width="19.1796875" bestFit="1" customWidth="1"/>
    <col min="201" max="201" width="17.6328125" bestFit="1" customWidth="1"/>
    <col min="202" max="202" width="9.36328125" bestFit="1" customWidth="1"/>
    <col min="206" max="206" width="17.81640625" bestFit="1" customWidth="1"/>
    <col min="207" max="207" width="21.81640625" bestFit="1" customWidth="1"/>
    <col min="208" max="208" width="18.1796875" bestFit="1" customWidth="1"/>
    <col min="209" max="209" width="15.81640625" bestFit="1" customWidth="1"/>
    <col min="210" max="210" width="17.36328125" bestFit="1" customWidth="1"/>
    <col min="211" max="211" width="21.453125" bestFit="1" customWidth="1"/>
    <col min="212" max="212" width="17.6328125" bestFit="1" customWidth="1"/>
    <col min="213" max="213" width="15.36328125" bestFit="1" customWidth="1"/>
    <col min="214" max="214" width="16.6328125" bestFit="1" customWidth="1"/>
    <col min="215" max="215" width="20.81640625" bestFit="1" customWidth="1"/>
    <col min="216" max="216" width="17" bestFit="1" customWidth="1"/>
    <col min="217" max="217" width="14.81640625" bestFit="1" customWidth="1"/>
  </cols>
  <sheetData>
    <row r="1" spans="1:225" s="13" customFormat="1" x14ac:dyDescent="0.35">
      <c r="A1" s="13" t="s">
        <v>150</v>
      </c>
      <c r="B1" s="13" t="s">
        <v>151</v>
      </c>
      <c r="C1" s="13" t="s">
        <v>152</v>
      </c>
      <c r="D1" s="13" t="s">
        <v>153</v>
      </c>
      <c r="E1" s="13" t="s">
        <v>0</v>
      </c>
      <c r="F1" s="13" t="s">
        <v>1</v>
      </c>
      <c r="G1" s="13" t="s">
        <v>154</v>
      </c>
      <c r="H1" s="13" t="s">
        <v>155</v>
      </c>
      <c r="I1" s="13" t="s">
        <v>2</v>
      </c>
      <c r="J1" s="13" t="s">
        <v>156</v>
      </c>
      <c r="K1" s="13" t="s">
        <v>157</v>
      </c>
      <c r="L1" s="13" t="s">
        <v>158</v>
      </c>
      <c r="M1" s="13" t="s">
        <v>159</v>
      </c>
      <c r="N1" s="13" t="s">
        <v>160</v>
      </c>
      <c r="O1" s="13" t="s">
        <v>6</v>
      </c>
      <c r="P1" s="13" t="s">
        <v>7</v>
      </c>
      <c r="Q1" s="13" t="s">
        <v>8</v>
      </c>
      <c r="R1" s="13" t="s">
        <v>9</v>
      </c>
      <c r="S1" s="13" t="s">
        <v>10</v>
      </c>
      <c r="T1" s="13" t="s">
        <v>11</v>
      </c>
      <c r="U1" s="13" t="s">
        <v>161</v>
      </c>
      <c r="V1" s="13" t="s">
        <v>13</v>
      </c>
      <c r="W1" s="13" t="s">
        <v>14</v>
      </c>
      <c r="X1" s="13" t="s">
        <v>15</v>
      </c>
      <c r="Y1" s="13" t="s">
        <v>162</v>
      </c>
      <c r="Z1" s="13" t="s">
        <v>16</v>
      </c>
      <c r="AA1" s="13" t="s">
        <v>17</v>
      </c>
      <c r="AB1" s="13" t="s">
        <v>18</v>
      </c>
      <c r="AC1" s="13" t="s">
        <v>163</v>
      </c>
      <c r="AD1" s="13" t="s">
        <v>164</v>
      </c>
      <c r="AE1" s="13" t="s">
        <v>165</v>
      </c>
      <c r="AF1" s="13" t="s">
        <v>166</v>
      </c>
      <c r="AG1" s="13" t="s">
        <v>167</v>
      </c>
      <c r="AH1" s="13" t="s">
        <v>19</v>
      </c>
      <c r="AI1" s="13" t="s">
        <v>20</v>
      </c>
      <c r="AJ1" s="13" t="s">
        <v>21</v>
      </c>
      <c r="AK1" s="13" t="s">
        <v>22</v>
      </c>
      <c r="AL1" s="13" t="s">
        <v>23</v>
      </c>
      <c r="AM1" s="13" t="s">
        <v>24</v>
      </c>
      <c r="AN1" s="13" t="s">
        <v>25</v>
      </c>
      <c r="AO1" s="13" t="s">
        <v>26</v>
      </c>
      <c r="AQ1" s="13" t="s">
        <v>168</v>
      </c>
      <c r="AR1" s="13" t="s">
        <v>169</v>
      </c>
      <c r="AS1" s="13" t="s">
        <v>27</v>
      </c>
      <c r="AT1" s="13" t="s">
        <v>28</v>
      </c>
      <c r="AU1" s="13" t="s">
        <v>29</v>
      </c>
      <c r="AV1" s="13" t="s">
        <v>170</v>
      </c>
      <c r="AW1" s="13" t="s">
        <v>171</v>
      </c>
      <c r="AX1" s="13" t="s">
        <v>172</v>
      </c>
      <c r="AY1" s="13" t="s">
        <v>173</v>
      </c>
      <c r="AZ1" t="s">
        <v>174</v>
      </c>
      <c r="BA1" t="s">
        <v>175</v>
      </c>
      <c r="BB1" s="13" t="s">
        <v>30</v>
      </c>
      <c r="BC1" s="13" t="s">
        <v>31</v>
      </c>
      <c r="BD1" s="13" t="s">
        <v>32</v>
      </c>
      <c r="BE1" s="13" t="s">
        <v>33</v>
      </c>
      <c r="BF1" s="13" t="s">
        <v>34</v>
      </c>
      <c r="BG1" s="13" t="s">
        <v>176</v>
      </c>
      <c r="BH1" s="13" t="s">
        <v>35</v>
      </c>
      <c r="BI1" s="13" t="s">
        <v>36</v>
      </c>
      <c r="BJ1" s="13" t="s">
        <v>37</v>
      </c>
      <c r="BK1" s="13" t="s">
        <v>38</v>
      </c>
      <c r="BL1" s="13" t="s">
        <v>39</v>
      </c>
      <c r="BM1" s="13" t="s">
        <v>40</v>
      </c>
      <c r="BN1" s="13" t="s">
        <v>41</v>
      </c>
      <c r="BO1" s="13" t="s">
        <v>42</v>
      </c>
      <c r="BP1" s="13" t="s">
        <v>43</v>
      </c>
      <c r="BQ1" s="13" t="s">
        <v>44</v>
      </c>
      <c r="BR1" s="13" t="s">
        <v>45</v>
      </c>
      <c r="BV1" s="13" t="s">
        <v>46</v>
      </c>
      <c r="BX1" s="13" t="s">
        <v>47</v>
      </c>
      <c r="BY1" s="13" t="s">
        <v>48</v>
      </c>
      <c r="BZ1" s="13" t="s">
        <v>49</v>
      </c>
      <c r="CA1" s="13" t="s">
        <v>50</v>
      </c>
      <c r="CB1" s="13" t="s">
        <v>51</v>
      </c>
      <c r="CC1" t="s">
        <v>52</v>
      </c>
      <c r="CD1" t="s">
        <v>53</v>
      </c>
      <c r="CE1" t="s">
        <v>54</v>
      </c>
      <c r="CF1" t="s">
        <v>55</v>
      </c>
      <c r="CG1" s="13" t="s">
        <v>56</v>
      </c>
      <c r="CH1" s="13" t="s">
        <v>57</v>
      </c>
      <c r="CI1" s="13" t="s">
        <v>58</v>
      </c>
      <c r="CJ1" s="13" t="s">
        <v>59</v>
      </c>
      <c r="CK1" s="13" t="s">
        <v>60</v>
      </c>
      <c r="CL1" s="13" t="s">
        <v>61</v>
      </c>
      <c r="CM1" s="13" t="s">
        <v>62</v>
      </c>
      <c r="CN1" s="13" t="s">
        <v>63</v>
      </c>
      <c r="CO1" s="13" t="s">
        <v>64</v>
      </c>
      <c r="CP1" s="13" t="s">
        <v>65</v>
      </c>
      <c r="CQ1" s="13" t="s">
        <v>66</v>
      </c>
      <c r="CR1" s="13" t="s">
        <v>67</v>
      </c>
      <c r="CS1" s="13" t="s">
        <v>68</v>
      </c>
      <c r="CT1" s="13" t="s">
        <v>69</v>
      </c>
      <c r="CU1" s="13" t="s">
        <v>70</v>
      </c>
      <c r="CV1" s="13" t="s">
        <v>71</v>
      </c>
      <c r="CW1" s="13" t="s">
        <v>72</v>
      </c>
      <c r="CX1" s="13" t="s">
        <v>73</v>
      </c>
      <c r="CY1" s="13" t="s">
        <v>74</v>
      </c>
      <c r="CZ1" s="13" t="s">
        <v>75</v>
      </c>
      <c r="DA1" s="13" t="s">
        <v>76</v>
      </c>
      <c r="DB1" s="13" t="s">
        <v>77</v>
      </c>
      <c r="DC1" t="s">
        <v>78</v>
      </c>
      <c r="DD1" t="s">
        <v>79</v>
      </c>
      <c r="DE1" t="s">
        <v>80</v>
      </c>
      <c r="DF1" t="s">
        <v>81</v>
      </c>
      <c r="DG1" t="s">
        <v>82</v>
      </c>
      <c r="DH1" t="s">
        <v>83</v>
      </c>
      <c r="DI1" t="s">
        <v>84</v>
      </c>
      <c r="DJ1" t="s">
        <v>85</v>
      </c>
      <c r="DK1" t="s">
        <v>86</v>
      </c>
      <c r="DL1" t="s">
        <v>87</v>
      </c>
      <c r="DM1" t="s">
        <v>88</v>
      </c>
      <c r="DN1" s="13" t="s">
        <v>177</v>
      </c>
      <c r="DO1" s="14" t="s">
        <v>89</v>
      </c>
      <c r="DP1" s="13" t="s">
        <v>90</v>
      </c>
      <c r="DQ1" s="13" t="s">
        <v>91</v>
      </c>
      <c r="DR1" s="13" t="s">
        <v>92</v>
      </c>
      <c r="DS1" s="13" t="s">
        <v>93</v>
      </c>
      <c r="DT1" s="13" t="s">
        <v>94</v>
      </c>
      <c r="DU1" s="13" t="s">
        <v>95</v>
      </c>
      <c r="DV1" s="13" t="s">
        <v>96</v>
      </c>
      <c r="DW1" s="13" t="s">
        <v>97</v>
      </c>
      <c r="DX1" s="13" t="s">
        <v>98</v>
      </c>
      <c r="DY1" s="13" t="s">
        <v>99</v>
      </c>
      <c r="DZ1" s="13" t="s">
        <v>100</v>
      </c>
      <c r="EA1" s="13" t="s">
        <v>101</v>
      </c>
      <c r="EB1" s="13" t="s">
        <v>102</v>
      </c>
      <c r="EC1" s="13" t="s">
        <v>103</v>
      </c>
      <c r="ED1" s="13" t="s">
        <v>104</v>
      </c>
      <c r="EE1" s="13" t="s">
        <v>105</v>
      </c>
      <c r="EF1" s="13" t="s">
        <v>106</v>
      </c>
      <c r="EG1" s="13" t="s">
        <v>107</v>
      </c>
      <c r="EH1" s="13" t="s">
        <v>108</v>
      </c>
      <c r="EI1" s="13" t="s">
        <v>109</v>
      </c>
      <c r="EJ1" s="13" t="s">
        <v>110</v>
      </c>
      <c r="EK1" s="13" t="s">
        <v>111</v>
      </c>
      <c r="EL1" s="13" t="s">
        <v>112</v>
      </c>
      <c r="EM1" s="13" t="s">
        <v>113</v>
      </c>
      <c r="EN1" s="13" t="s">
        <v>114</v>
      </c>
      <c r="EO1" s="13" t="s">
        <v>115</v>
      </c>
      <c r="EP1" s="13" t="s">
        <v>116</v>
      </c>
      <c r="EQ1" s="13" t="s">
        <v>117</v>
      </c>
      <c r="ER1" s="13" t="s">
        <v>118</v>
      </c>
      <c r="ES1" s="13" t="s">
        <v>119</v>
      </c>
      <c r="ET1" s="13" t="s">
        <v>120</v>
      </c>
      <c r="EU1" s="13" t="s">
        <v>121</v>
      </c>
      <c r="EV1" s="13" t="s">
        <v>122</v>
      </c>
      <c r="EW1" s="13" t="s">
        <v>123</v>
      </c>
      <c r="EX1" s="13" t="s">
        <v>124</v>
      </c>
      <c r="EY1" s="13" t="s">
        <v>125</v>
      </c>
      <c r="EZ1" s="13" t="s">
        <v>126</v>
      </c>
      <c r="FA1" s="13" t="s">
        <v>127</v>
      </c>
      <c r="FB1" s="13" t="s">
        <v>128</v>
      </c>
      <c r="FC1" s="13" t="s">
        <v>129</v>
      </c>
      <c r="FD1" s="13" t="s">
        <v>130</v>
      </c>
      <c r="FE1" s="13" t="s">
        <v>131</v>
      </c>
      <c r="FF1" s="13" t="s">
        <v>132</v>
      </c>
      <c r="FG1" s="13" t="s">
        <v>133</v>
      </c>
      <c r="FH1" s="13" t="s">
        <v>134</v>
      </c>
      <c r="FI1" s="13" t="s">
        <v>135</v>
      </c>
      <c r="FJ1" s="15" t="s">
        <v>178</v>
      </c>
      <c r="FK1" s="15" t="s">
        <v>179</v>
      </c>
      <c r="FL1" s="15" t="s">
        <v>180</v>
      </c>
      <c r="FM1" s="13" t="s">
        <v>181</v>
      </c>
      <c r="FN1" s="15" t="s">
        <v>182</v>
      </c>
      <c r="FO1" s="15" t="s">
        <v>183</v>
      </c>
      <c r="FP1" s="15" t="s">
        <v>184</v>
      </c>
      <c r="FQ1" s="15" t="s">
        <v>185</v>
      </c>
      <c r="FR1" s="15" t="s">
        <v>186</v>
      </c>
      <c r="FS1" s="16" t="s">
        <v>187</v>
      </c>
      <c r="FT1" s="15" t="s">
        <v>188</v>
      </c>
      <c r="FU1" s="15" t="s">
        <v>189</v>
      </c>
      <c r="FV1" s="15" t="s">
        <v>190</v>
      </c>
      <c r="FW1" s="15" t="s">
        <v>191</v>
      </c>
      <c r="FX1" s="15" t="s">
        <v>192</v>
      </c>
      <c r="FY1" s="15" t="s">
        <v>193</v>
      </c>
      <c r="FZ1" s="15" t="s">
        <v>194</v>
      </c>
      <c r="GA1" s="15" t="s">
        <v>195</v>
      </c>
      <c r="GB1" s="15" t="s">
        <v>196</v>
      </c>
      <c r="GC1" s="15" t="s">
        <v>197</v>
      </c>
      <c r="GD1" s="15" t="s">
        <v>198</v>
      </c>
      <c r="GE1" s="15" t="s">
        <v>199</v>
      </c>
      <c r="GF1" s="15" t="s">
        <v>200</v>
      </c>
      <c r="GG1" s="15" t="s">
        <v>201</v>
      </c>
      <c r="GH1" s="15" t="s">
        <v>202</v>
      </c>
      <c r="GI1" s="15" t="s">
        <v>203</v>
      </c>
      <c r="GJ1" s="15" t="s">
        <v>204</v>
      </c>
      <c r="GK1" s="15" t="s">
        <v>205</v>
      </c>
      <c r="GL1" s="15" t="s">
        <v>206</v>
      </c>
      <c r="GM1" s="15" t="s">
        <v>207</v>
      </c>
      <c r="GN1" s="15" t="s">
        <v>208</v>
      </c>
      <c r="GO1" s="15" t="s">
        <v>209</v>
      </c>
      <c r="GP1" s="15" t="s">
        <v>210</v>
      </c>
      <c r="GQ1" s="15" t="s">
        <v>211</v>
      </c>
      <c r="GR1" s="15" t="s">
        <v>212</v>
      </c>
      <c r="GS1" s="15" t="s">
        <v>213</v>
      </c>
      <c r="GT1" s="13" t="s">
        <v>214</v>
      </c>
      <c r="GX1" s="13" t="s">
        <v>215</v>
      </c>
      <c r="GY1" s="13" t="s">
        <v>216</v>
      </c>
      <c r="GZ1" s="13" t="s">
        <v>217</v>
      </c>
      <c r="HA1" s="13" t="s">
        <v>218</v>
      </c>
      <c r="HB1" s="13" t="s">
        <v>219</v>
      </c>
      <c r="HC1" s="13" t="s">
        <v>220</v>
      </c>
      <c r="HD1" s="13" t="s">
        <v>221</v>
      </c>
      <c r="HE1" s="13" t="s">
        <v>222</v>
      </c>
      <c r="HF1" s="13" t="s">
        <v>223</v>
      </c>
      <c r="HG1" s="13" t="s">
        <v>224</v>
      </c>
      <c r="HH1" s="13" t="s">
        <v>225</v>
      </c>
      <c r="HI1" s="13" t="s">
        <v>226</v>
      </c>
    </row>
    <row r="2" spans="1:225" x14ac:dyDescent="0.35">
      <c r="A2" t="str">
        <f>IF('Raw File'!E2&gt;0,'Raw File'!E2, " ")</f>
        <v xml:space="preserve"> </v>
      </c>
      <c r="B2" t="str">
        <f>IF('Raw File'!D2&gt;0,'Raw File'!D2," ")</f>
        <v xml:space="preserve"> </v>
      </c>
      <c r="C2" t="str">
        <f>IF('Raw File'!F2&gt;0,'Raw File'!F2, " ")</f>
        <v xml:space="preserve"> </v>
      </c>
      <c r="D2" s="1" t="str">
        <f>IF('Raw File'!R2&gt;0,'Raw File'!R2, " ")</f>
        <v xml:space="preserve"> </v>
      </c>
      <c r="E2" t="str">
        <f>IF('Raw File'!C2&gt;0, 296, " ")</f>
        <v xml:space="preserve"> </v>
      </c>
      <c r="F2" s="10" t="str">
        <f>IF('Raw File'!C2&gt;0, "5", " ")</f>
        <v xml:space="preserve"> </v>
      </c>
      <c r="G2" t="str">
        <f>IF('Raw File'!C2&gt;0, "X", " ")</f>
        <v xml:space="preserve"> </v>
      </c>
      <c r="H2" t="str">
        <f>IF('Raw File'!N2="H", "S", LEFT('Raw File'!N2, 1))</f>
        <v/>
      </c>
      <c r="J2" t="str">
        <f>IF('Raw File'!J2&gt;0,'Raw File'!J2," ")</f>
        <v xml:space="preserve"> </v>
      </c>
      <c r="L2" t="str">
        <f>IF('Raw File'!M2&gt;0,'Raw File'!M2," ")</f>
        <v xml:space="preserve"> </v>
      </c>
      <c r="M2" t="str">
        <f>IF('Raw File'!K2&gt;0,'Raw File'!K2," ")</f>
        <v xml:space="preserve"> </v>
      </c>
      <c r="N2" t="str">
        <f>IF('Raw File'!L2&gt;0,'Raw File'!L2," ")</f>
        <v xml:space="preserve"> </v>
      </c>
      <c r="U2" t="str">
        <f>IF('Raw File'!Q2&gt;0,'Raw File'!Q2," ")</f>
        <v xml:space="preserve"> </v>
      </c>
      <c r="Y2" t="str">
        <f>IF('Raw File'!C2&gt;0,'Raw File'!C2," ")</f>
        <v xml:space="preserve"> </v>
      </c>
      <c r="Z2" t="str">
        <f>IF('Raw File'!C2&gt;0, "A", " ")</f>
        <v xml:space="preserve"> </v>
      </c>
      <c r="AA2" t="str">
        <f>IF('Raw File'!C2&gt;0, "F", " ")</f>
        <v xml:space="preserve"> </v>
      </c>
      <c r="AB2" t="str">
        <f>IF('Raw File'!H2&gt;0,'Raw File'!H2," ")</f>
        <v xml:space="preserve"> </v>
      </c>
      <c r="AC2" s="11" t="str">
        <f>IF('Raw File'!C2&gt;0,IF(WhatColor('Raw File'!C2)&gt;10,8810,8018)," ")</f>
        <v xml:space="preserve"> </v>
      </c>
      <c r="AD2" s="1" t="str">
        <f>IF('Raw File'!C2&gt;0,'Raw File'!A2," ")</f>
        <v xml:space="preserve"> </v>
      </c>
      <c r="AE2" s="1" t="str">
        <f>IF('Raw File'!C2&gt;0,'Raw File'!A2," ")</f>
        <v xml:space="preserve"> </v>
      </c>
      <c r="AF2" s="1" t="str">
        <f>IF('Raw File'!C2&gt;0,'Raw File'!A2," ")</f>
        <v xml:space="preserve"> </v>
      </c>
      <c r="AG2" t="str">
        <f>IF('Raw File'!C2&gt;0,'Raw File'!C2, " ")</f>
        <v xml:space="preserve"> </v>
      </c>
      <c r="AQ2" t="str">
        <f>IF('Raw File'!G2&gt;0, IF('Raw File'!G2&lt;100, "H", "S"), " ")</f>
        <v xml:space="preserve"> </v>
      </c>
      <c r="AR2" t="str">
        <f>IF('Raw File'!G2&gt;0,'Raw File'!G2," ")</f>
        <v xml:space="preserve"> </v>
      </c>
      <c r="AT2" t="str">
        <f>IF('Raw File'!C2&gt;0,40," ")</f>
        <v xml:space="preserve"> </v>
      </c>
      <c r="AV2" t="str">
        <f>IF('Raw File'!N2= 0, " ", IF('Raw File'!N2="S", "SS", IF( 'Raw File'!N2= "M", "MJ", IF('Raw File'!N2= "H", "H"))))</f>
        <v xml:space="preserve"> </v>
      </c>
      <c r="AW2" s="12"/>
      <c r="AX2" t="str">
        <f>LEFT('Raw File'!P2,1)</f>
        <v/>
      </c>
      <c r="AY2" t="str">
        <f>LEFT('Raw File'!N2,1)</f>
        <v/>
      </c>
      <c r="AZ2">
        <f>IF('Raw File'!O2="exempt",99,IF('Raw File'!O2&gt;0,'Raw File'!O2/2000,IF('Raw File'!O2=0,'Raw File'!O2," ")))</f>
        <v>0</v>
      </c>
      <c r="BA2" t="str">
        <f>LEFT('Raw File'!P2,1)</f>
        <v/>
      </c>
      <c r="BJ2" t="str">
        <f>IF('Raw File'!C2&gt;0,"1"," ")</f>
        <v xml:space="preserve"> </v>
      </c>
      <c r="BX2" t="str">
        <f>IF('Raw File'!C2&gt;0,"WEEKLY"," ")</f>
        <v xml:space="preserve"> </v>
      </c>
      <c r="CA2" t="str">
        <f>IF('Raw File'!C2&gt;0, "N"," ")</f>
        <v xml:space="preserve"> </v>
      </c>
      <c r="CI2" t="str">
        <f>IF('Raw File'!C2&gt;0, "W", " ")</f>
        <v xml:space="preserve"> </v>
      </c>
      <c r="DN2" s="1" t="str">
        <f>IF('Raw File'!C2&gt;0,'Raw File'!A2," ")</f>
        <v xml:space="preserve"> </v>
      </c>
      <c r="GY2">
        <f>IF('Raw File'!O2=" "," ",IF('Raw File'!O2&gt;100,'Raw File'!O2,IF('Raw File'!O2="exempt","99999",IF('Raw File'!O2&lt;100, 'Raw File'!O2*2000, " "))))</f>
        <v>0</v>
      </c>
      <c r="HQ2" t="str">
        <f>IF('Raw File'!C2&gt;0,"1"," ")</f>
        <v xml:space="preserve"> </v>
      </c>
    </row>
    <row r="3" spans="1:225" x14ac:dyDescent="0.35">
      <c r="A3" t="str">
        <f>IF('Raw File'!E3&gt;0,'Raw File'!E3, " ")</f>
        <v xml:space="preserve"> </v>
      </c>
      <c r="B3" t="str">
        <f>IF('Raw File'!D3&gt;0,'Raw File'!D3," ")</f>
        <v xml:space="preserve"> </v>
      </c>
      <c r="C3" t="str">
        <f>IF('Raw File'!F3&gt;0,'Raw File'!F3, " ")</f>
        <v xml:space="preserve"> </v>
      </c>
      <c r="D3" s="1" t="str">
        <f>IF('Raw File'!R3&gt;0,'Raw File'!R3, " ")</f>
        <v xml:space="preserve"> </v>
      </c>
      <c r="E3" t="str">
        <f>IF('Raw File'!C3&gt;0, 296, " ")</f>
        <v xml:space="preserve"> </v>
      </c>
      <c r="F3" s="10" t="str">
        <f>IF('Raw File'!C3&gt;0, "5", " ")</f>
        <v xml:space="preserve"> </v>
      </c>
      <c r="G3" t="str">
        <f>IF('Raw File'!C3&gt;0, "X", " ")</f>
        <v xml:space="preserve"> </v>
      </c>
      <c r="H3" t="str">
        <f>IF('Raw File'!N3="H", "S", LEFT('Raw File'!N3, 1))</f>
        <v/>
      </c>
      <c r="J3" t="str">
        <f>IF('Raw File'!J3&gt;0,'Raw File'!J3," ")</f>
        <v xml:space="preserve"> </v>
      </c>
      <c r="L3" t="str">
        <f>IF('Raw File'!M3&gt;0,'Raw File'!M3," ")</f>
        <v xml:space="preserve"> </v>
      </c>
      <c r="M3" t="str">
        <f>IF('Raw File'!K3&gt;0,'Raw File'!K3," ")</f>
        <v xml:space="preserve"> </v>
      </c>
      <c r="N3" t="str">
        <f>IF('Raw File'!L3&gt;0,'Raw File'!L3," ")</f>
        <v xml:space="preserve"> </v>
      </c>
      <c r="U3" t="str">
        <f>IF('Raw File'!Q3&gt;0,'Raw File'!Q3," ")</f>
        <v xml:space="preserve"> </v>
      </c>
      <c r="Y3" t="str">
        <f>IF('Raw File'!C3&gt;0,'Raw File'!C3," ")</f>
        <v xml:space="preserve"> </v>
      </c>
      <c r="Z3" t="str">
        <f>IF('Raw File'!C3&gt;0, "A", " ")</f>
        <v xml:space="preserve"> </v>
      </c>
      <c r="AA3" t="str">
        <f>IF('Raw File'!C3&gt;0, "F", " ")</f>
        <v xml:space="preserve"> </v>
      </c>
      <c r="AB3" t="str">
        <f>IF('Raw File'!H3&gt;0,'Raw File'!H3," ")</f>
        <v xml:space="preserve"> </v>
      </c>
      <c r="AC3" s="11" t="str">
        <f>IF('Raw File'!C3&gt;0,IF(WhatColor('Raw File'!C3)&gt;10,8810,8018)," ")</f>
        <v xml:space="preserve"> </v>
      </c>
      <c r="AD3" s="1" t="str">
        <f>IF('Raw File'!C3&gt;0,'Raw File'!A3," ")</f>
        <v xml:space="preserve"> </v>
      </c>
      <c r="AE3" s="1" t="str">
        <f>IF('Raw File'!C3&gt;0,'Raw File'!A3," ")</f>
        <v xml:space="preserve"> </v>
      </c>
      <c r="AF3" s="1" t="str">
        <f>IF('Raw File'!C3&gt;0,'Raw File'!A3," ")</f>
        <v xml:space="preserve"> </v>
      </c>
      <c r="AG3" t="str">
        <f>IF('Raw File'!C3&gt;0,'Raw File'!C3, " ")</f>
        <v xml:space="preserve"> </v>
      </c>
      <c r="AQ3" t="str">
        <f>IF('Raw File'!G3&gt;0, IF('Raw File'!G3&lt;100, "H", "S"), " ")</f>
        <v xml:space="preserve"> </v>
      </c>
      <c r="AR3" t="str">
        <f>IF('Raw File'!G3&gt;0,'Raw File'!G3," ")</f>
        <v xml:space="preserve"> </v>
      </c>
      <c r="AT3" t="str">
        <f>IF('Raw File'!C3&gt;0,40," ")</f>
        <v xml:space="preserve"> </v>
      </c>
      <c r="AV3" t="str">
        <f>IF('Raw File'!N3= 0, " ", IF('Raw File'!N3="S", "SS", IF( 'Raw File'!N3= "M", "MJ", IF('Raw File'!N3= "H", "H"))))</f>
        <v xml:space="preserve"> </v>
      </c>
      <c r="AW3" s="12"/>
      <c r="AX3" t="str">
        <f>LEFT('Raw File'!P3,1)</f>
        <v/>
      </c>
      <c r="AY3" t="str">
        <f>LEFT('Raw File'!N3,1)</f>
        <v/>
      </c>
      <c r="AZ3">
        <f>IF('Raw File'!O3="exempt",99,IF('Raw File'!O3&gt;0,'Raw File'!O3/2000,IF('Raw File'!O3=0,'Raw File'!O3," ")))</f>
        <v>0</v>
      </c>
      <c r="BA3" t="str">
        <f>LEFT('Raw File'!P3,1)</f>
        <v/>
      </c>
      <c r="BJ3" t="str">
        <f>IF('Raw File'!C3&gt;0,"1"," ")</f>
        <v xml:space="preserve"> </v>
      </c>
      <c r="BX3" t="str">
        <f>IF('Raw File'!C3&gt;0,"WEEKLY"," ")</f>
        <v xml:space="preserve"> </v>
      </c>
      <c r="CA3" t="str">
        <f>IF('Raw File'!C3&gt;0, "N"," ")</f>
        <v xml:space="preserve"> </v>
      </c>
      <c r="CI3" t="str">
        <f>IF('Raw File'!C3&gt;0, "W", " ")</f>
        <v xml:space="preserve"> </v>
      </c>
      <c r="DN3" s="1" t="str">
        <f>IF('Raw File'!C3&gt;0,'Raw File'!A3," ")</f>
        <v xml:space="preserve"> </v>
      </c>
      <c r="GY3">
        <f>IF('Raw File'!O3=" "," ",IF('Raw File'!O3&gt;100,'Raw File'!O3,IF('Raw File'!O3="exempt","99999",IF('Raw File'!O3&lt;100, 'Raw File'!O3*2000, " "))))</f>
        <v>0</v>
      </c>
      <c r="HQ3" t="str">
        <f>IF('Raw File'!C3&gt;0,"1"," ")</f>
        <v xml:space="preserve"> </v>
      </c>
    </row>
    <row r="4" spans="1:225" x14ac:dyDescent="0.35">
      <c r="A4" t="str">
        <f>IF('Raw File'!E4&gt;0,'Raw File'!E4, " ")</f>
        <v xml:space="preserve"> </v>
      </c>
      <c r="B4" t="str">
        <f>IF('Raw File'!D4&gt;0,'Raw File'!D4," ")</f>
        <v xml:space="preserve"> </v>
      </c>
      <c r="C4" t="str">
        <f>IF('Raw File'!F4&gt;0,'Raw File'!F4, " ")</f>
        <v xml:space="preserve"> </v>
      </c>
      <c r="D4" s="1" t="str">
        <f>IF('Raw File'!R4&gt;0,'Raw File'!R4, " ")</f>
        <v xml:space="preserve"> </v>
      </c>
      <c r="E4" t="str">
        <f>IF('Raw File'!C4&gt;0, 296, " ")</f>
        <v xml:space="preserve"> </v>
      </c>
      <c r="F4" s="10" t="str">
        <f>IF('Raw File'!C4&gt;0, "5", " ")</f>
        <v xml:space="preserve"> </v>
      </c>
      <c r="G4" t="str">
        <f>IF('Raw File'!C4&gt;0, "X", " ")</f>
        <v xml:space="preserve"> </v>
      </c>
      <c r="H4" t="str">
        <f>IF('Raw File'!N4="H", "S", LEFT('Raw File'!N4, 1))</f>
        <v/>
      </c>
      <c r="J4" t="str">
        <f>IF('Raw File'!J4&gt;0,'Raw File'!J4," ")</f>
        <v xml:space="preserve"> </v>
      </c>
      <c r="L4" t="str">
        <f>IF('Raw File'!M4&gt;0,'Raw File'!M4," ")</f>
        <v xml:space="preserve"> </v>
      </c>
      <c r="M4" t="str">
        <f>IF('Raw File'!K4&gt;0,'Raw File'!K4," ")</f>
        <v xml:space="preserve"> </v>
      </c>
      <c r="N4" t="str">
        <f>IF('Raw File'!L4&gt;0,'Raw File'!L4," ")</f>
        <v xml:space="preserve"> </v>
      </c>
      <c r="U4" t="str">
        <f>IF('Raw File'!Q4&gt;0,'Raw File'!Q4," ")</f>
        <v xml:space="preserve"> </v>
      </c>
      <c r="Y4" t="str">
        <f>IF('Raw File'!C4&gt;0,'Raw File'!C4," ")</f>
        <v xml:space="preserve"> </v>
      </c>
      <c r="Z4" t="str">
        <f>IF('Raw File'!C4&gt;0, "A", " ")</f>
        <v xml:space="preserve"> </v>
      </c>
      <c r="AA4" t="str">
        <f>IF('Raw File'!C4&gt;0, "F", " ")</f>
        <v xml:space="preserve"> </v>
      </c>
      <c r="AB4" t="str">
        <f>IF('Raw File'!H4&gt;0,'Raw File'!H4," ")</f>
        <v xml:space="preserve"> </v>
      </c>
      <c r="AC4" s="11" t="str">
        <f>IF('Raw File'!C4&gt;0,IF(WhatColor('Raw File'!C4)&gt;10,8810,8018)," ")</f>
        <v xml:space="preserve"> </v>
      </c>
      <c r="AD4" s="1" t="str">
        <f>IF('Raw File'!C4&gt;0,'Raw File'!A4," ")</f>
        <v xml:space="preserve"> </v>
      </c>
      <c r="AE4" s="1" t="str">
        <f>IF('Raw File'!C4&gt;0,'Raw File'!A4," ")</f>
        <v xml:space="preserve"> </v>
      </c>
      <c r="AF4" s="1" t="str">
        <f>IF('Raw File'!C4&gt;0,'Raw File'!A4," ")</f>
        <v xml:space="preserve"> </v>
      </c>
      <c r="AG4" t="str">
        <f>IF('Raw File'!C4&gt;0,'Raw File'!C4, " ")</f>
        <v xml:space="preserve"> </v>
      </c>
      <c r="AQ4" t="str">
        <f>IF('Raw File'!G4&gt;0, IF('Raw File'!G4&lt;100, "H", "S"), " ")</f>
        <v xml:space="preserve"> </v>
      </c>
      <c r="AR4" t="str">
        <f>IF('Raw File'!G4&gt;0,'Raw File'!G4," ")</f>
        <v xml:space="preserve"> </v>
      </c>
      <c r="AT4" t="str">
        <f>IF('Raw File'!C4&gt;0,40," ")</f>
        <v xml:space="preserve"> </v>
      </c>
      <c r="AV4" t="str">
        <f>IF('Raw File'!N4= 0, " ", IF('Raw File'!N4="S", "SS", IF( 'Raw File'!N4= "M", "MJ", IF('Raw File'!N4= "H", "H"))))</f>
        <v xml:space="preserve"> </v>
      </c>
      <c r="AW4" s="12"/>
      <c r="AX4" t="str">
        <f>LEFT('Raw File'!P4,1)</f>
        <v/>
      </c>
      <c r="AY4" t="str">
        <f>LEFT('Raw File'!N4,1)</f>
        <v/>
      </c>
      <c r="AZ4">
        <f>IF('Raw File'!O4="exempt",99,IF('Raw File'!O4&gt;0,'Raw File'!O4/2000,IF('Raw File'!O4=0,'Raw File'!O4," ")))</f>
        <v>0</v>
      </c>
      <c r="BA4" t="str">
        <f>LEFT('Raw File'!P4,1)</f>
        <v/>
      </c>
      <c r="BJ4" t="str">
        <f>IF('Raw File'!C4&gt;0,"1"," ")</f>
        <v xml:space="preserve"> </v>
      </c>
      <c r="BX4" t="str">
        <f>IF('Raw File'!C4&gt;0,"WEEKLY"," ")</f>
        <v xml:space="preserve"> </v>
      </c>
      <c r="CA4" t="str">
        <f>IF('Raw File'!C4&gt;0, "N"," ")</f>
        <v xml:space="preserve"> </v>
      </c>
      <c r="CI4" t="str">
        <f>IF('Raw File'!C4&gt;0, "W", " ")</f>
        <v xml:space="preserve"> </v>
      </c>
      <c r="DN4" s="1" t="str">
        <f>IF('Raw File'!C4&gt;0,'Raw File'!A4," ")</f>
        <v xml:space="preserve"> </v>
      </c>
      <c r="GY4">
        <f>IF('Raw File'!O4=" "," ",IF('Raw File'!O4&gt;100,'Raw File'!O4,IF('Raw File'!O4="exempt","99999",IF('Raw File'!O4&lt;100, 'Raw File'!O4*2000, " "))))</f>
        <v>0</v>
      </c>
      <c r="HQ4" t="str">
        <f>IF('Raw File'!C4&gt;0,"1"," ")</f>
        <v xml:space="preserve"> </v>
      </c>
    </row>
    <row r="5" spans="1:225" x14ac:dyDescent="0.35">
      <c r="A5" t="str">
        <f>IF('Raw File'!E5&gt;0,'Raw File'!E5, " ")</f>
        <v xml:space="preserve"> </v>
      </c>
      <c r="B5" t="str">
        <f>IF('Raw File'!D5&gt;0,'Raw File'!D5," ")</f>
        <v xml:space="preserve"> </v>
      </c>
      <c r="C5" t="str">
        <f>IF('Raw File'!F5&gt;0,'Raw File'!F5, " ")</f>
        <v xml:space="preserve"> </v>
      </c>
      <c r="D5" s="1" t="str">
        <f>IF('Raw File'!R5&gt;0,'Raw File'!R5, " ")</f>
        <v xml:space="preserve"> </v>
      </c>
      <c r="E5" t="str">
        <f>IF('Raw File'!C5&gt;0, 296, " ")</f>
        <v xml:space="preserve"> </v>
      </c>
      <c r="F5" s="10" t="str">
        <f>IF('Raw File'!C5&gt;0, "5", " ")</f>
        <v xml:space="preserve"> </v>
      </c>
      <c r="G5" t="str">
        <f>IF('Raw File'!C5&gt;0, "X", " ")</f>
        <v xml:space="preserve"> </v>
      </c>
      <c r="H5" t="str">
        <f>IF('Raw File'!N5="H", "S", LEFT('Raw File'!N5, 1))</f>
        <v/>
      </c>
      <c r="J5" t="str">
        <f>IF('Raw File'!J5&gt;0,'Raw File'!J5," ")</f>
        <v xml:space="preserve"> </v>
      </c>
      <c r="L5" t="str">
        <f>IF('Raw File'!M5&gt;0,'Raw File'!M5," ")</f>
        <v xml:space="preserve"> </v>
      </c>
      <c r="M5" t="str">
        <f>IF('Raw File'!K5&gt;0,'Raw File'!K5," ")</f>
        <v xml:space="preserve"> </v>
      </c>
      <c r="N5" t="str">
        <f>IF('Raw File'!L5&gt;0,'Raw File'!L5," ")</f>
        <v xml:space="preserve"> </v>
      </c>
      <c r="U5" t="str">
        <f>IF('Raw File'!Q5&gt;0,'Raw File'!Q5," ")</f>
        <v xml:space="preserve"> </v>
      </c>
      <c r="Y5" t="str">
        <f>IF('Raw File'!C5&gt;0,'Raw File'!C5," ")</f>
        <v xml:space="preserve"> </v>
      </c>
      <c r="Z5" t="str">
        <f>IF('Raw File'!C5&gt;0, "A", " ")</f>
        <v xml:space="preserve"> </v>
      </c>
      <c r="AA5" t="str">
        <f>IF('Raw File'!C5&gt;0, "F", " ")</f>
        <v xml:space="preserve"> </v>
      </c>
      <c r="AB5" t="str">
        <f>IF('Raw File'!H5&gt;0,'Raw File'!H5," ")</f>
        <v xml:space="preserve"> </v>
      </c>
      <c r="AC5" s="11" t="str">
        <f>IF('Raw File'!C5&gt;0,IF(WhatColor('Raw File'!C5)&gt;10,8810,8018)," ")</f>
        <v xml:space="preserve"> </v>
      </c>
      <c r="AD5" s="1" t="str">
        <f>IF('Raw File'!C5&gt;0,'Raw File'!A5," ")</f>
        <v xml:space="preserve"> </v>
      </c>
      <c r="AE5" s="1" t="str">
        <f>IF('Raw File'!C5&gt;0,'Raw File'!A5," ")</f>
        <v xml:space="preserve"> </v>
      </c>
      <c r="AF5" s="1" t="str">
        <f>IF('Raw File'!C5&gt;0,'Raw File'!A5," ")</f>
        <v xml:space="preserve"> </v>
      </c>
      <c r="AG5" t="str">
        <f>IF('Raw File'!C5&gt;0,'Raw File'!C5, " ")</f>
        <v xml:space="preserve"> </v>
      </c>
      <c r="AQ5" t="str">
        <f>IF('Raw File'!G5&gt;0, IF('Raw File'!G5&lt;100, "H", "S"), " ")</f>
        <v xml:space="preserve"> </v>
      </c>
      <c r="AR5" t="str">
        <f>IF('Raw File'!G5&gt;0,'Raw File'!G5," ")</f>
        <v xml:space="preserve"> </v>
      </c>
      <c r="AT5" t="str">
        <f>IF('Raw File'!C5&gt;0,40," ")</f>
        <v xml:space="preserve"> </v>
      </c>
      <c r="AV5" t="str">
        <f>IF('Raw File'!N5= 0, " ", IF('Raw File'!N5="S", "SS", IF( 'Raw File'!N5= "M", "MJ", IF('Raw File'!N5= "H", "H"))))</f>
        <v xml:space="preserve"> </v>
      </c>
      <c r="AW5" s="12"/>
      <c r="AX5" t="str">
        <f>LEFT('Raw File'!P5,1)</f>
        <v/>
      </c>
      <c r="AY5" t="str">
        <f>LEFT('Raw File'!N5,1)</f>
        <v/>
      </c>
      <c r="AZ5">
        <f>IF('Raw File'!O5="exempt",99,IF('Raw File'!O5&gt;0,'Raw File'!O5/2000,IF('Raw File'!O5=0,'Raw File'!O5," ")))</f>
        <v>0</v>
      </c>
      <c r="BA5" t="str">
        <f>LEFT('Raw File'!P5,1)</f>
        <v/>
      </c>
      <c r="BJ5" t="str">
        <f>IF('Raw File'!C5&gt;0,"1"," ")</f>
        <v xml:space="preserve"> </v>
      </c>
      <c r="BX5" t="str">
        <f>IF('Raw File'!C5&gt;0,"WEEKLY"," ")</f>
        <v xml:space="preserve"> </v>
      </c>
      <c r="CA5" t="str">
        <f>IF('Raw File'!C5&gt;0, "N"," ")</f>
        <v xml:space="preserve"> </v>
      </c>
      <c r="CI5" t="str">
        <f>IF('Raw File'!C5&gt;0, "W", " ")</f>
        <v xml:space="preserve"> </v>
      </c>
      <c r="DN5" s="1" t="str">
        <f>IF('Raw File'!C5&gt;0,'Raw File'!A5," ")</f>
        <v xml:space="preserve"> </v>
      </c>
      <c r="GY5">
        <f>IF('Raw File'!O5=" "," ",IF('Raw File'!O5&gt;100,'Raw File'!O5,IF('Raw File'!O5="exempt","99999",IF('Raw File'!O5&lt;100, 'Raw File'!O5*2000, " "))))</f>
        <v>0</v>
      </c>
      <c r="HQ5" t="str">
        <f>IF('Raw File'!C5&gt;0,"1"," ")</f>
        <v xml:space="preserve"> </v>
      </c>
    </row>
    <row r="6" spans="1:225" x14ac:dyDescent="0.35">
      <c r="A6" t="str">
        <f>IF('Raw File'!E6&gt;0,'Raw File'!E6, " ")</f>
        <v xml:space="preserve"> </v>
      </c>
      <c r="B6" t="str">
        <f>IF('Raw File'!D6&gt;0,'Raw File'!D6," ")</f>
        <v xml:space="preserve"> </v>
      </c>
      <c r="C6" t="str">
        <f>IF('Raw File'!F6&gt;0,'Raw File'!F6, " ")</f>
        <v xml:space="preserve"> </v>
      </c>
      <c r="D6" s="1" t="str">
        <f>IF('Raw File'!R6&gt;0,'Raw File'!R6, " ")</f>
        <v xml:space="preserve"> </v>
      </c>
      <c r="E6" t="str">
        <f>IF('Raw File'!C6&gt;0, 296, " ")</f>
        <v xml:space="preserve"> </v>
      </c>
      <c r="F6" s="10" t="str">
        <f>IF('Raw File'!C6&gt;0, "5", " ")</f>
        <v xml:space="preserve"> </v>
      </c>
      <c r="G6" t="str">
        <f>IF('Raw File'!C6&gt;0, "X", " ")</f>
        <v xml:space="preserve"> </v>
      </c>
      <c r="H6" t="str">
        <f>IF('Raw File'!N6="H", "S", LEFT('Raw File'!N6, 1))</f>
        <v/>
      </c>
      <c r="J6" t="str">
        <f>IF('Raw File'!J6&gt;0,'Raw File'!J6," ")</f>
        <v xml:space="preserve"> </v>
      </c>
      <c r="L6" t="str">
        <f>IF('Raw File'!M6&gt;0,'Raw File'!M6," ")</f>
        <v xml:space="preserve"> </v>
      </c>
      <c r="M6" t="str">
        <f>IF('Raw File'!K6&gt;0,'Raw File'!K6," ")</f>
        <v xml:space="preserve"> </v>
      </c>
      <c r="N6" t="str">
        <f>IF('Raw File'!L6&gt;0,'Raw File'!L6," ")</f>
        <v xml:space="preserve"> </v>
      </c>
      <c r="U6" t="str">
        <f>IF('Raw File'!Q6&gt;0,'Raw File'!Q6," ")</f>
        <v xml:space="preserve"> </v>
      </c>
      <c r="Y6" t="str">
        <f>IF('Raw File'!C6&gt;0,'Raw File'!C6," ")</f>
        <v xml:space="preserve"> </v>
      </c>
      <c r="Z6" t="str">
        <f>IF('Raw File'!C6&gt;0, "A", " ")</f>
        <v xml:space="preserve"> </v>
      </c>
      <c r="AA6" t="str">
        <f>IF('Raw File'!C6&gt;0, "F", " ")</f>
        <v xml:space="preserve"> </v>
      </c>
      <c r="AB6" t="str">
        <f>IF('Raw File'!H6&gt;0,'Raw File'!H6," ")</f>
        <v xml:space="preserve"> </v>
      </c>
      <c r="AC6" s="11" t="str">
        <f>IF('Raw File'!C6&gt;0,IF(WhatColor('Raw File'!C6)&gt;10,8810,8018)," ")</f>
        <v xml:space="preserve"> </v>
      </c>
      <c r="AD6" s="1" t="str">
        <f>IF('Raw File'!C6&gt;0,'Raw File'!A6," ")</f>
        <v xml:space="preserve"> </v>
      </c>
      <c r="AE6" s="1" t="str">
        <f>IF('Raw File'!C6&gt;0,'Raw File'!A6," ")</f>
        <v xml:space="preserve"> </v>
      </c>
      <c r="AF6" s="1" t="str">
        <f>IF('Raw File'!C6&gt;0,'Raw File'!A6," ")</f>
        <v xml:space="preserve"> </v>
      </c>
      <c r="AG6" t="str">
        <f>IF('Raw File'!C6&gt;0,'Raw File'!C6, " ")</f>
        <v xml:space="preserve"> </v>
      </c>
      <c r="AQ6" t="str">
        <f>IF('Raw File'!G6&gt;0, IF('Raw File'!G6&lt;100, "H", "S"), " ")</f>
        <v xml:space="preserve"> </v>
      </c>
      <c r="AR6" t="str">
        <f>IF('Raw File'!G6&gt;0,'Raw File'!G6," ")</f>
        <v xml:space="preserve"> </v>
      </c>
      <c r="AT6" t="str">
        <f>IF('Raw File'!C6&gt;0,40," ")</f>
        <v xml:space="preserve"> </v>
      </c>
      <c r="AV6" t="str">
        <f>IF('Raw File'!N6= 0, " ", IF('Raw File'!N6="S", "SS", IF( 'Raw File'!N6= "M", "MJ", IF('Raw File'!N6= "H", "H"))))</f>
        <v xml:space="preserve"> </v>
      </c>
      <c r="AW6" s="12"/>
      <c r="AX6" t="str">
        <f>LEFT('Raw File'!P6,1)</f>
        <v/>
      </c>
      <c r="AY6" t="str">
        <f>LEFT('Raw File'!N6,1)</f>
        <v/>
      </c>
      <c r="AZ6">
        <f>IF('Raw File'!O6="exempt",99,IF('Raw File'!O6&gt;0,'Raw File'!O6/2000,IF('Raw File'!O6=0,'Raw File'!O6," ")))</f>
        <v>0</v>
      </c>
      <c r="BA6" t="str">
        <f>LEFT('Raw File'!P6,1)</f>
        <v/>
      </c>
      <c r="BJ6" t="str">
        <f>IF('Raw File'!C6&gt;0,"1"," ")</f>
        <v xml:space="preserve"> </v>
      </c>
      <c r="BX6" t="str">
        <f>IF('Raw File'!C6&gt;0,"WEEKLY"," ")</f>
        <v xml:space="preserve"> </v>
      </c>
      <c r="CA6" t="str">
        <f>IF('Raw File'!C6&gt;0, "N"," ")</f>
        <v xml:space="preserve"> </v>
      </c>
      <c r="CI6" t="str">
        <f>IF('Raw File'!C6&gt;0, "W", " ")</f>
        <v xml:space="preserve"> </v>
      </c>
      <c r="DN6" s="1" t="str">
        <f>IF('Raw File'!C6&gt;0,'Raw File'!A6," ")</f>
        <v xml:space="preserve"> </v>
      </c>
      <c r="GY6">
        <f>IF('Raw File'!O6=" "," ",IF('Raw File'!O6&gt;100,'Raw File'!O6,IF('Raw File'!O6="exempt","99999",IF('Raw File'!O6&lt;100, 'Raw File'!O6*2000, " "))))</f>
        <v>0</v>
      </c>
      <c r="HQ6" t="str">
        <f>IF('Raw File'!C6&gt;0,"1"," ")</f>
        <v xml:space="preserve"> </v>
      </c>
    </row>
    <row r="7" spans="1:225" x14ac:dyDescent="0.35">
      <c r="A7" t="str">
        <f>IF('Raw File'!E7&gt;0,'Raw File'!E7, " ")</f>
        <v xml:space="preserve"> </v>
      </c>
      <c r="B7" t="str">
        <f>IF('Raw File'!D7&gt;0,'Raw File'!D7," ")</f>
        <v xml:space="preserve"> </v>
      </c>
      <c r="C7" t="str">
        <f>IF('Raw File'!F7&gt;0,'Raw File'!F7, " ")</f>
        <v xml:space="preserve"> </v>
      </c>
      <c r="D7" s="1" t="str">
        <f>IF('Raw File'!R7&gt;0,'Raw File'!R7, " ")</f>
        <v xml:space="preserve"> </v>
      </c>
      <c r="E7" t="str">
        <f>IF('Raw File'!C7&gt;0, 296, " ")</f>
        <v xml:space="preserve"> </v>
      </c>
      <c r="F7" s="10" t="str">
        <f>IF('Raw File'!C7&gt;0, "5", " ")</f>
        <v xml:space="preserve"> </v>
      </c>
      <c r="G7" t="str">
        <f>IF('Raw File'!C7&gt;0, "X", " ")</f>
        <v xml:space="preserve"> </v>
      </c>
      <c r="H7" t="str">
        <f>IF('Raw File'!N7="H", "S", LEFT('Raw File'!N7, 1))</f>
        <v/>
      </c>
      <c r="J7" t="str">
        <f>IF('Raw File'!J7&gt;0,'Raw File'!J7," ")</f>
        <v xml:space="preserve"> </v>
      </c>
      <c r="L7" t="str">
        <f>IF('Raw File'!M7&gt;0,'Raw File'!M7," ")</f>
        <v xml:space="preserve"> </v>
      </c>
      <c r="M7" t="str">
        <f>IF('Raw File'!K7&gt;0,'Raw File'!K7," ")</f>
        <v xml:space="preserve"> </v>
      </c>
      <c r="N7" t="str">
        <f>IF('Raw File'!L7&gt;0,'Raw File'!L7," ")</f>
        <v xml:space="preserve"> </v>
      </c>
      <c r="U7" t="str">
        <f>IF('Raw File'!Q7&gt;0,'Raw File'!Q7," ")</f>
        <v xml:space="preserve"> </v>
      </c>
      <c r="Y7" t="str">
        <f>IF('Raw File'!C7&gt;0,'Raw File'!C7," ")</f>
        <v xml:space="preserve"> </v>
      </c>
      <c r="Z7" t="str">
        <f>IF('Raw File'!C7&gt;0, "A", " ")</f>
        <v xml:space="preserve"> </v>
      </c>
      <c r="AA7" t="str">
        <f>IF('Raw File'!C7&gt;0, "F", " ")</f>
        <v xml:space="preserve"> </v>
      </c>
      <c r="AB7" t="str">
        <f>IF('Raw File'!H7&gt;0,'Raw File'!H7," ")</f>
        <v xml:space="preserve"> </v>
      </c>
      <c r="AC7" s="11" t="str">
        <f>IF('Raw File'!C7&gt;0,IF(WhatColor('Raw File'!C7)&gt;10,8810,8018)," ")</f>
        <v xml:space="preserve"> </v>
      </c>
      <c r="AD7" s="1" t="str">
        <f>IF('Raw File'!C7&gt;0,'Raw File'!A7," ")</f>
        <v xml:space="preserve"> </v>
      </c>
      <c r="AE7" s="1" t="str">
        <f>IF('Raw File'!C7&gt;0,'Raw File'!A7," ")</f>
        <v xml:space="preserve"> </v>
      </c>
      <c r="AF7" s="1" t="str">
        <f>IF('Raw File'!C7&gt;0,'Raw File'!A7," ")</f>
        <v xml:space="preserve"> </v>
      </c>
      <c r="AG7" t="str">
        <f>IF('Raw File'!C7&gt;0,'Raw File'!C7, " ")</f>
        <v xml:space="preserve"> </v>
      </c>
      <c r="AQ7" t="str">
        <f>IF('Raw File'!G7&gt;0, IF('Raw File'!G7&lt;100, "H", "S"), " ")</f>
        <v xml:space="preserve"> </v>
      </c>
      <c r="AR7" t="str">
        <f>IF('Raw File'!G7&gt;0,'Raw File'!G7," ")</f>
        <v xml:space="preserve"> </v>
      </c>
      <c r="AT7" t="str">
        <f>IF('Raw File'!C7&gt;0,40," ")</f>
        <v xml:space="preserve"> </v>
      </c>
      <c r="AV7" t="str">
        <f>IF('Raw File'!N7= 0, " ", IF('Raw File'!N7="S", "SS", IF( 'Raw File'!N7= "M", "MJ", IF('Raw File'!N7= "H", "H"))))</f>
        <v xml:space="preserve"> </v>
      </c>
      <c r="AW7" s="12"/>
      <c r="AX7" t="str">
        <f>LEFT('Raw File'!P7,1)</f>
        <v/>
      </c>
      <c r="AY7" t="str">
        <f>LEFT('Raw File'!N7,1)</f>
        <v/>
      </c>
      <c r="AZ7">
        <f>IF('Raw File'!O7="exempt",99,IF('Raw File'!O7&gt;0,'Raw File'!O7/2000,IF('Raw File'!O7=0,'Raw File'!O7," ")))</f>
        <v>0</v>
      </c>
      <c r="BA7" t="str">
        <f>LEFT('Raw File'!P7,1)</f>
        <v/>
      </c>
      <c r="BJ7" t="str">
        <f>IF('Raw File'!C7&gt;0,"1"," ")</f>
        <v xml:space="preserve"> </v>
      </c>
      <c r="BX7" t="str">
        <f>IF('Raw File'!C7&gt;0,"WEEKLY"," ")</f>
        <v xml:space="preserve"> </v>
      </c>
      <c r="CA7" t="str">
        <f>IF('Raw File'!C7&gt;0, "N"," ")</f>
        <v xml:space="preserve"> </v>
      </c>
      <c r="CI7" t="str">
        <f>IF('Raw File'!C7&gt;0, "W", " ")</f>
        <v xml:space="preserve"> </v>
      </c>
      <c r="DN7" s="1" t="str">
        <f>IF('Raw File'!C7&gt;0,'Raw File'!A7," ")</f>
        <v xml:space="preserve"> </v>
      </c>
      <c r="GY7">
        <f>IF('Raw File'!O7=" "," ",IF('Raw File'!O7&gt;100,'Raw File'!O7,IF('Raw File'!O7="exempt","99999",IF('Raw File'!O7&lt;100, 'Raw File'!O7*2000, " "))))</f>
        <v>0</v>
      </c>
      <c r="HQ7" t="str">
        <f>IF('Raw File'!C7&gt;0,"1"," ")</f>
        <v xml:space="preserve"> </v>
      </c>
    </row>
    <row r="8" spans="1:225" x14ac:dyDescent="0.35">
      <c r="A8" t="str">
        <f>IF('Raw File'!E8&gt;0,'Raw File'!E8, " ")</f>
        <v xml:space="preserve"> </v>
      </c>
      <c r="B8" t="str">
        <f>IF('Raw File'!D8&gt;0,'Raw File'!D8," ")</f>
        <v xml:space="preserve"> </v>
      </c>
      <c r="C8" t="str">
        <f>IF('Raw File'!F8&gt;0,'Raw File'!F8, " ")</f>
        <v xml:space="preserve"> </v>
      </c>
      <c r="D8" s="1" t="str">
        <f>IF('Raw File'!R8&gt;0,'Raw File'!R8, " ")</f>
        <v xml:space="preserve"> </v>
      </c>
      <c r="E8" t="str">
        <f>IF('Raw File'!C8&gt;0, 296, " ")</f>
        <v xml:space="preserve"> </v>
      </c>
      <c r="F8" s="10" t="str">
        <f>IF('Raw File'!C8&gt;0, "5", " ")</f>
        <v xml:space="preserve"> </v>
      </c>
      <c r="G8" t="str">
        <f>IF('Raw File'!C8&gt;0, "X", " ")</f>
        <v xml:space="preserve"> </v>
      </c>
      <c r="H8" t="str">
        <f>IF('Raw File'!N8="H", "S", LEFT('Raw File'!N8, 1))</f>
        <v/>
      </c>
      <c r="J8" t="str">
        <f>IF('Raw File'!J8&gt;0,'Raw File'!J8," ")</f>
        <v xml:space="preserve"> </v>
      </c>
      <c r="L8" t="str">
        <f>IF('Raw File'!M8&gt;0,'Raw File'!M8," ")</f>
        <v xml:space="preserve"> </v>
      </c>
      <c r="M8" t="str">
        <f>IF('Raw File'!K8&gt;0,'Raw File'!K8," ")</f>
        <v xml:space="preserve"> </v>
      </c>
      <c r="N8" t="str">
        <f>IF('Raw File'!L8&gt;0,'Raw File'!L8," ")</f>
        <v xml:space="preserve"> </v>
      </c>
      <c r="U8" t="str">
        <f>IF('Raw File'!Q8&gt;0,'Raw File'!Q8," ")</f>
        <v xml:space="preserve"> </v>
      </c>
      <c r="Y8" t="str">
        <f>IF('Raw File'!C8&gt;0,'Raw File'!C8," ")</f>
        <v xml:space="preserve"> </v>
      </c>
      <c r="Z8" t="str">
        <f>IF('Raw File'!C8&gt;0, "A", " ")</f>
        <v xml:space="preserve"> </v>
      </c>
      <c r="AA8" t="str">
        <f>IF('Raw File'!C8&gt;0, "F", " ")</f>
        <v xml:space="preserve"> </v>
      </c>
      <c r="AB8" t="str">
        <f>IF('Raw File'!H8&gt;0,'Raw File'!H8," ")</f>
        <v xml:space="preserve"> </v>
      </c>
      <c r="AC8" s="11" t="str">
        <f>IF('Raw File'!C8&gt;0,IF(WhatColor('Raw File'!C8)&gt;10,8810,8018)," ")</f>
        <v xml:space="preserve"> </v>
      </c>
      <c r="AD8" s="1" t="str">
        <f>IF('Raw File'!C8&gt;0,'Raw File'!A8," ")</f>
        <v xml:space="preserve"> </v>
      </c>
      <c r="AE8" s="1" t="str">
        <f>IF('Raw File'!C8&gt;0,'Raw File'!A8," ")</f>
        <v xml:space="preserve"> </v>
      </c>
      <c r="AF8" s="1" t="str">
        <f>IF('Raw File'!C8&gt;0,'Raw File'!A8," ")</f>
        <v xml:space="preserve"> </v>
      </c>
      <c r="AG8" t="str">
        <f>IF('Raw File'!C8&gt;0,'Raw File'!C8, " ")</f>
        <v xml:space="preserve"> </v>
      </c>
      <c r="AQ8" t="str">
        <f>IF('Raw File'!G8&gt;0, IF('Raw File'!G8&lt;100, "H", "S"), " ")</f>
        <v xml:space="preserve"> </v>
      </c>
      <c r="AR8" t="str">
        <f>IF('Raw File'!G8&gt;0,'Raw File'!G8," ")</f>
        <v xml:space="preserve"> </v>
      </c>
      <c r="AT8" t="str">
        <f>IF('Raw File'!C8&gt;0,40," ")</f>
        <v xml:space="preserve"> </v>
      </c>
      <c r="AV8" t="str">
        <f>IF('Raw File'!N8= 0, " ", IF('Raw File'!N8="S", "SS", IF( 'Raw File'!N8= "M", "MJ", IF('Raw File'!N8= "H", "H"))))</f>
        <v xml:space="preserve"> </v>
      </c>
      <c r="AW8" s="12"/>
      <c r="AX8" t="str">
        <f>LEFT('Raw File'!P8,1)</f>
        <v/>
      </c>
      <c r="AY8" t="str">
        <f>LEFT('Raw File'!N8,1)</f>
        <v/>
      </c>
      <c r="AZ8">
        <f>IF('Raw File'!O8="exempt",99,IF('Raw File'!O8&gt;0,'Raw File'!O8/2000,IF('Raw File'!O8=0,'Raw File'!O8," ")))</f>
        <v>0</v>
      </c>
      <c r="BA8" t="str">
        <f>LEFT('Raw File'!P8,1)</f>
        <v/>
      </c>
      <c r="BJ8" t="str">
        <f>IF('Raw File'!C8&gt;0,"1"," ")</f>
        <v xml:space="preserve"> </v>
      </c>
      <c r="BX8" t="str">
        <f>IF('Raw File'!C8&gt;0,"WEEKLY"," ")</f>
        <v xml:space="preserve"> </v>
      </c>
      <c r="CA8" t="str">
        <f>IF('Raw File'!C8&gt;0, "N"," ")</f>
        <v xml:space="preserve"> </v>
      </c>
      <c r="CI8" t="str">
        <f>IF('Raw File'!C8&gt;0, "W", " ")</f>
        <v xml:space="preserve"> </v>
      </c>
      <c r="DN8" s="1" t="str">
        <f>IF('Raw File'!C8&gt;0,'Raw File'!A8," ")</f>
        <v xml:space="preserve"> </v>
      </c>
      <c r="GY8">
        <f>IF('Raw File'!O8=" "," ",IF('Raw File'!O8&gt;100,'Raw File'!O8,IF('Raw File'!O8="exempt","99999",IF('Raw File'!O8&lt;100, 'Raw File'!O8*2000, " "))))</f>
        <v>0</v>
      </c>
      <c r="HQ8" t="str">
        <f>IF('Raw File'!C8&gt;0,"1"," ")</f>
        <v xml:space="preserve"> </v>
      </c>
    </row>
    <row r="9" spans="1:225" x14ac:dyDescent="0.35">
      <c r="A9" t="str">
        <f>IF('Raw File'!E9&gt;0,'Raw File'!E9, " ")</f>
        <v xml:space="preserve"> </v>
      </c>
      <c r="B9" t="str">
        <f>IF('Raw File'!D9&gt;0,'Raw File'!D9," ")</f>
        <v xml:space="preserve"> </v>
      </c>
      <c r="C9" t="str">
        <f>IF('Raw File'!F9&gt;0,'Raw File'!F9, " ")</f>
        <v xml:space="preserve"> </v>
      </c>
      <c r="D9" s="1" t="str">
        <f>IF('Raw File'!R9&gt;0,'Raw File'!R9, " ")</f>
        <v xml:space="preserve"> </v>
      </c>
      <c r="E9" t="str">
        <f>IF('Raw File'!C9&gt;0, 296, " ")</f>
        <v xml:space="preserve"> </v>
      </c>
      <c r="F9" s="10" t="str">
        <f>IF('Raw File'!C9&gt;0, "5", " ")</f>
        <v xml:space="preserve"> </v>
      </c>
      <c r="G9" t="str">
        <f>IF('Raw File'!C9&gt;0, "X", " ")</f>
        <v xml:space="preserve"> </v>
      </c>
      <c r="H9" t="str">
        <f>IF('Raw File'!N9="H", "S", LEFT('Raw File'!N9, 1))</f>
        <v/>
      </c>
      <c r="J9" t="str">
        <f>IF('Raw File'!J9&gt;0,'Raw File'!J9," ")</f>
        <v xml:space="preserve"> </v>
      </c>
      <c r="L9" t="str">
        <f>IF('Raw File'!M9&gt;0,'Raw File'!M9," ")</f>
        <v xml:space="preserve"> </v>
      </c>
      <c r="M9" t="str">
        <f>IF('Raw File'!K9&gt;0,'Raw File'!K9," ")</f>
        <v xml:space="preserve"> </v>
      </c>
      <c r="N9" t="str">
        <f>IF('Raw File'!L9&gt;0,'Raw File'!L9," ")</f>
        <v xml:space="preserve"> </v>
      </c>
      <c r="U9" t="str">
        <f>IF('Raw File'!Q9&gt;0,'Raw File'!Q9," ")</f>
        <v xml:space="preserve"> </v>
      </c>
      <c r="Y9" t="str">
        <f>IF('Raw File'!C9&gt;0,'Raw File'!C9," ")</f>
        <v xml:space="preserve"> </v>
      </c>
      <c r="Z9" t="str">
        <f>IF('Raw File'!C9&gt;0, "A", " ")</f>
        <v xml:space="preserve"> </v>
      </c>
      <c r="AA9" t="str">
        <f>IF('Raw File'!C9&gt;0, "F", " ")</f>
        <v xml:space="preserve"> </v>
      </c>
      <c r="AB9" t="str">
        <f>IF('Raw File'!H9&gt;0,'Raw File'!H9," ")</f>
        <v xml:space="preserve"> </v>
      </c>
      <c r="AC9" s="11" t="str">
        <f>IF('Raw File'!C9&gt;0,IF(WhatColor('Raw File'!C9)&gt;10,8810,8018)," ")</f>
        <v xml:space="preserve"> </v>
      </c>
      <c r="AD9" s="1" t="str">
        <f>IF('Raw File'!C9&gt;0,'Raw File'!A9," ")</f>
        <v xml:space="preserve"> </v>
      </c>
      <c r="AE9" s="1" t="str">
        <f>IF('Raw File'!C9&gt;0,'Raw File'!A9," ")</f>
        <v xml:space="preserve"> </v>
      </c>
      <c r="AF9" s="1" t="str">
        <f>IF('Raw File'!C9&gt;0,'Raw File'!A9," ")</f>
        <v xml:space="preserve"> </v>
      </c>
      <c r="AG9" t="str">
        <f>IF('Raw File'!C9&gt;0,'Raw File'!C9, " ")</f>
        <v xml:space="preserve"> </v>
      </c>
      <c r="AQ9" t="str">
        <f>IF('Raw File'!G9&gt;0, IF('Raw File'!G9&lt;100, "H", "S"), " ")</f>
        <v xml:space="preserve"> </v>
      </c>
      <c r="AR9" t="str">
        <f>IF('Raw File'!G9&gt;0,'Raw File'!G9," ")</f>
        <v xml:space="preserve"> </v>
      </c>
      <c r="AT9" t="str">
        <f>IF('Raw File'!C9&gt;0,40," ")</f>
        <v xml:space="preserve"> </v>
      </c>
      <c r="AV9" t="str">
        <f>IF('Raw File'!N9= 0, " ", IF('Raw File'!N9="S", "SS", IF( 'Raw File'!N9= "M", "MJ", IF('Raw File'!N9= "H", "H"))))</f>
        <v xml:space="preserve"> </v>
      </c>
      <c r="AW9" s="12"/>
      <c r="AX9" t="str">
        <f>LEFT('Raw File'!P9,1)</f>
        <v/>
      </c>
      <c r="AY9" t="str">
        <f>LEFT('Raw File'!N9,1)</f>
        <v/>
      </c>
      <c r="AZ9">
        <f>IF('Raw File'!O9="exempt",99,IF('Raw File'!O9&gt;0,'Raw File'!O9/2000,IF('Raw File'!O9=0,'Raw File'!O9," ")))</f>
        <v>0</v>
      </c>
      <c r="BA9" t="str">
        <f>LEFT('Raw File'!P9,1)</f>
        <v/>
      </c>
      <c r="BJ9" t="str">
        <f>IF('Raw File'!C9&gt;0,"1"," ")</f>
        <v xml:space="preserve"> </v>
      </c>
      <c r="BX9" t="str">
        <f>IF('Raw File'!C9&gt;0,"WEEKLY"," ")</f>
        <v xml:space="preserve"> </v>
      </c>
      <c r="CA9" t="str">
        <f>IF('Raw File'!C9&gt;0, "N"," ")</f>
        <v xml:space="preserve"> </v>
      </c>
      <c r="CI9" t="str">
        <f>IF('Raw File'!C9&gt;0, "W", " ")</f>
        <v xml:space="preserve"> </v>
      </c>
      <c r="DN9" s="1" t="str">
        <f>IF('Raw File'!C9&gt;0,'Raw File'!A9," ")</f>
        <v xml:space="preserve"> </v>
      </c>
      <c r="GY9">
        <f>IF('Raw File'!O9=" "," ",IF('Raw File'!O9&gt;100,'Raw File'!O9,IF('Raw File'!O9="exempt","99999",IF('Raw File'!O9&lt;100, 'Raw File'!O9*2000, " "))))</f>
        <v>0</v>
      </c>
      <c r="HQ9" t="str">
        <f>IF('Raw File'!C9&gt;0,"1"," ")</f>
        <v xml:space="preserve"> </v>
      </c>
    </row>
    <row r="10" spans="1:225" x14ac:dyDescent="0.35">
      <c r="A10" t="str">
        <f>IF('Raw File'!E10&gt;0,'Raw File'!E10, " ")</f>
        <v xml:space="preserve"> </v>
      </c>
      <c r="B10" t="str">
        <f>IF('Raw File'!D10&gt;0,'Raw File'!D10," ")</f>
        <v xml:space="preserve"> </v>
      </c>
      <c r="C10" t="str">
        <f>IF('Raw File'!F10&gt;0,'Raw File'!F10, " ")</f>
        <v xml:space="preserve"> </v>
      </c>
      <c r="D10" s="1" t="str">
        <f>IF('Raw File'!R10&gt;0,'Raw File'!R10, " ")</f>
        <v xml:space="preserve"> </v>
      </c>
      <c r="E10" t="str">
        <f>IF('Raw File'!C10&gt;0, 296, " ")</f>
        <v xml:space="preserve"> </v>
      </c>
      <c r="F10" s="10" t="str">
        <f>IF('Raw File'!C10&gt;0, "5", " ")</f>
        <v xml:space="preserve"> </v>
      </c>
      <c r="G10" t="str">
        <f>IF('Raw File'!C10&gt;0, "X", " ")</f>
        <v xml:space="preserve"> </v>
      </c>
      <c r="H10" t="str">
        <f>IF('Raw File'!N10="H", "S", LEFT('Raw File'!N10, 1))</f>
        <v/>
      </c>
      <c r="J10" t="str">
        <f>IF('Raw File'!J10&gt;0,'Raw File'!J10," ")</f>
        <v xml:space="preserve"> </v>
      </c>
      <c r="L10" t="str">
        <f>IF('Raw File'!M10&gt;0,'Raw File'!M10," ")</f>
        <v xml:space="preserve"> </v>
      </c>
      <c r="M10" t="str">
        <f>IF('Raw File'!K10&gt;0,'Raw File'!K10," ")</f>
        <v xml:space="preserve"> </v>
      </c>
      <c r="N10" t="str">
        <f>IF('Raw File'!L10&gt;0,'Raw File'!L10," ")</f>
        <v xml:space="preserve"> </v>
      </c>
      <c r="U10" t="str">
        <f>IF('Raw File'!Q10&gt;0,'Raw File'!Q10," ")</f>
        <v xml:space="preserve"> </v>
      </c>
      <c r="Y10" t="str">
        <f>IF('Raw File'!C10&gt;0,'Raw File'!C10," ")</f>
        <v xml:space="preserve"> </v>
      </c>
      <c r="Z10" t="str">
        <f>IF('Raw File'!C10&gt;0, "A", " ")</f>
        <v xml:space="preserve"> </v>
      </c>
      <c r="AA10" t="str">
        <f>IF('Raw File'!C10&gt;0, "F", " ")</f>
        <v xml:space="preserve"> </v>
      </c>
      <c r="AB10" t="str">
        <f>IF('Raw File'!H10&gt;0,'Raw File'!H10," ")</f>
        <v xml:space="preserve"> </v>
      </c>
      <c r="AC10" s="11" t="str">
        <f>IF('Raw File'!C10&gt;0,IF(WhatColor('Raw File'!C10)&gt;10,8810,8018)," ")</f>
        <v xml:space="preserve"> </v>
      </c>
      <c r="AD10" s="1" t="str">
        <f>IF('Raw File'!C10&gt;0,'Raw File'!A10," ")</f>
        <v xml:space="preserve"> </v>
      </c>
      <c r="AE10" s="1" t="str">
        <f>IF('Raw File'!C10&gt;0,'Raw File'!A10," ")</f>
        <v xml:space="preserve"> </v>
      </c>
      <c r="AF10" s="1" t="str">
        <f>IF('Raw File'!C10&gt;0,'Raw File'!A10," ")</f>
        <v xml:space="preserve"> </v>
      </c>
      <c r="AG10" t="str">
        <f>IF('Raw File'!C10&gt;0,'Raw File'!C10, " ")</f>
        <v xml:space="preserve"> </v>
      </c>
      <c r="AQ10" t="str">
        <f>IF('Raw File'!G10&gt;0, IF('Raw File'!G10&lt;100, "H", "S"), " ")</f>
        <v xml:space="preserve"> </v>
      </c>
      <c r="AR10" t="str">
        <f>IF('Raw File'!G10&gt;0,'Raw File'!G10," ")</f>
        <v xml:space="preserve"> </v>
      </c>
      <c r="AT10" t="str">
        <f>IF('Raw File'!C10&gt;0,40," ")</f>
        <v xml:space="preserve"> </v>
      </c>
      <c r="AV10" t="str">
        <f>IF('Raw File'!N10= 0, " ", IF('Raw File'!N10="S", "SS", IF( 'Raw File'!N10= "M", "MJ", IF('Raw File'!N10= "H", "H"))))</f>
        <v xml:space="preserve"> </v>
      </c>
      <c r="AW10" s="12"/>
      <c r="AX10" t="str">
        <f>LEFT('Raw File'!P10,1)</f>
        <v/>
      </c>
      <c r="AY10" t="str">
        <f>LEFT('Raw File'!N10,1)</f>
        <v/>
      </c>
      <c r="AZ10">
        <f>IF('Raw File'!O10="exempt",99,IF('Raw File'!O10&gt;0,'Raw File'!O10/2000,IF('Raw File'!O10=0,'Raw File'!O10," ")))</f>
        <v>0</v>
      </c>
      <c r="BA10" t="str">
        <f>LEFT('Raw File'!P10,1)</f>
        <v/>
      </c>
      <c r="BJ10" t="str">
        <f>IF('Raw File'!C10&gt;0,"1"," ")</f>
        <v xml:space="preserve"> </v>
      </c>
      <c r="BX10" t="str">
        <f>IF('Raw File'!C10&gt;0,"WEEKLY"," ")</f>
        <v xml:space="preserve"> </v>
      </c>
      <c r="CA10" t="str">
        <f>IF('Raw File'!C10&gt;0, "N"," ")</f>
        <v xml:space="preserve"> </v>
      </c>
      <c r="CI10" t="str">
        <f>IF('Raw File'!C10&gt;0, "W", " ")</f>
        <v xml:space="preserve"> </v>
      </c>
      <c r="DN10" s="1" t="str">
        <f>IF('Raw File'!C10&gt;0,'Raw File'!A10," ")</f>
        <v xml:space="preserve"> </v>
      </c>
      <c r="GY10">
        <f>IF('Raw File'!O10=" "," ",IF('Raw File'!O10&gt;100,'Raw File'!O10,IF('Raw File'!O10="exempt","99999",IF('Raw File'!O10&lt;100, 'Raw File'!O10*2000, " "))))</f>
        <v>0</v>
      </c>
      <c r="HQ10" t="str">
        <f>IF('Raw File'!C10&gt;0,"1"," ")</f>
        <v xml:space="preserve"> </v>
      </c>
    </row>
    <row r="11" spans="1:225" x14ac:dyDescent="0.35">
      <c r="A11" t="str">
        <f>IF('Raw File'!E11&gt;0,'Raw File'!E11, " ")</f>
        <v xml:space="preserve"> </v>
      </c>
      <c r="B11" t="str">
        <f>IF('Raw File'!D11&gt;0,'Raw File'!D11," ")</f>
        <v xml:space="preserve"> </v>
      </c>
      <c r="C11" t="str">
        <f>IF('Raw File'!F11&gt;0,'Raw File'!F11, " ")</f>
        <v xml:space="preserve"> </v>
      </c>
      <c r="D11" s="1" t="str">
        <f>IF('Raw File'!R11&gt;0,'Raw File'!R11, " ")</f>
        <v xml:space="preserve"> </v>
      </c>
      <c r="E11" t="str">
        <f>IF('Raw File'!C11&gt;0, 296, " ")</f>
        <v xml:space="preserve"> </v>
      </c>
      <c r="F11" s="10" t="str">
        <f>IF('Raw File'!C11&gt;0, "5", " ")</f>
        <v xml:space="preserve"> </v>
      </c>
      <c r="G11" t="str">
        <f>IF('Raw File'!C11&gt;0, "X", " ")</f>
        <v xml:space="preserve"> </v>
      </c>
      <c r="H11" t="str">
        <f>IF('Raw File'!N11="H", "S", LEFT('Raw File'!N11, 1))</f>
        <v/>
      </c>
      <c r="J11" t="str">
        <f>IF('Raw File'!J11&gt;0,'Raw File'!J11," ")</f>
        <v xml:space="preserve"> </v>
      </c>
      <c r="L11" t="str">
        <f>IF('Raw File'!M11&gt;0,'Raw File'!M11," ")</f>
        <v xml:space="preserve"> </v>
      </c>
      <c r="M11" t="str">
        <f>IF('Raw File'!K11&gt;0,'Raw File'!K11," ")</f>
        <v xml:space="preserve"> </v>
      </c>
      <c r="N11" t="str">
        <f>IF('Raw File'!L11&gt;0,'Raw File'!L11," ")</f>
        <v xml:space="preserve"> </v>
      </c>
      <c r="U11" t="str">
        <f>IF('Raw File'!Q11&gt;0,'Raw File'!Q11," ")</f>
        <v xml:space="preserve"> </v>
      </c>
      <c r="Y11" t="str">
        <f>IF('Raw File'!C11&gt;0,'Raw File'!C11," ")</f>
        <v xml:space="preserve"> </v>
      </c>
      <c r="Z11" t="str">
        <f>IF('Raw File'!C11&gt;0, "A", " ")</f>
        <v xml:space="preserve"> </v>
      </c>
      <c r="AA11" t="str">
        <f>IF('Raw File'!C11&gt;0, "F", " ")</f>
        <v xml:space="preserve"> </v>
      </c>
      <c r="AB11" t="str">
        <f>IF('Raw File'!H11&gt;0,'Raw File'!H11," ")</f>
        <v xml:space="preserve"> </v>
      </c>
      <c r="AC11" s="11" t="str">
        <f>IF('Raw File'!C11&gt;0,IF(WhatColor('Raw File'!C11)&gt;10,8810,8018)," ")</f>
        <v xml:space="preserve"> </v>
      </c>
      <c r="AD11" s="1" t="str">
        <f>IF('Raw File'!C11&gt;0,'Raw File'!A11," ")</f>
        <v xml:space="preserve"> </v>
      </c>
      <c r="AE11" s="1" t="str">
        <f>IF('Raw File'!C11&gt;0,'Raw File'!A11," ")</f>
        <v xml:space="preserve"> </v>
      </c>
      <c r="AF11" s="1" t="str">
        <f>IF('Raw File'!C11&gt;0,'Raw File'!A11," ")</f>
        <v xml:space="preserve"> </v>
      </c>
      <c r="AG11" t="str">
        <f>IF('Raw File'!C11&gt;0,'Raw File'!C11, " ")</f>
        <v xml:space="preserve"> </v>
      </c>
      <c r="AQ11" t="str">
        <f>IF('Raw File'!G11&gt;0, IF('Raw File'!G11&lt;100, "H", "S"), " ")</f>
        <v xml:space="preserve"> </v>
      </c>
      <c r="AR11" t="str">
        <f>IF('Raw File'!G11&gt;0,'Raw File'!G11," ")</f>
        <v xml:space="preserve"> </v>
      </c>
      <c r="AT11" t="str">
        <f>IF('Raw File'!C11&gt;0,40," ")</f>
        <v xml:space="preserve"> </v>
      </c>
      <c r="AV11" t="str">
        <f>IF('Raw File'!N11= 0, " ", IF('Raw File'!N11="S", "SS", IF( 'Raw File'!N11= "M", "MJ", IF('Raw File'!N11= "H", "H"))))</f>
        <v xml:space="preserve"> </v>
      </c>
      <c r="AW11" s="12"/>
      <c r="AX11" t="str">
        <f>LEFT('Raw File'!P11,1)</f>
        <v/>
      </c>
      <c r="AY11" t="str">
        <f>LEFT('Raw File'!N11,1)</f>
        <v/>
      </c>
      <c r="AZ11">
        <f>IF('Raw File'!O11="exempt",99,IF('Raw File'!O11&gt;0,'Raw File'!O11/2000,IF('Raw File'!O11=0,'Raw File'!O11," ")))</f>
        <v>0</v>
      </c>
      <c r="BA11" t="str">
        <f>LEFT('Raw File'!P11,1)</f>
        <v/>
      </c>
      <c r="BJ11" t="str">
        <f>IF('Raw File'!C11&gt;0,"1"," ")</f>
        <v xml:space="preserve"> </v>
      </c>
      <c r="BX11" t="str">
        <f>IF('Raw File'!C11&gt;0,"WEEKLY"," ")</f>
        <v xml:space="preserve"> </v>
      </c>
      <c r="CA11" t="str">
        <f>IF('Raw File'!C11&gt;0, "N"," ")</f>
        <v xml:space="preserve"> </v>
      </c>
      <c r="CI11" t="str">
        <f>IF('Raw File'!C11&gt;0, "W", " ")</f>
        <v xml:space="preserve"> </v>
      </c>
      <c r="DN11" s="1" t="str">
        <f>IF('Raw File'!C11&gt;0,'Raw File'!A11," ")</f>
        <v xml:space="preserve"> </v>
      </c>
      <c r="GY11">
        <f>IF('Raw File'!O11=" "," ",IF('Raw File'!O11&gt;100,'Raw File'!O11,IF('Raw File'!O11="exempt","99999",IF('Raw File'!O11&lt;100, 'Raw File'!O11*2000, " "))))</f>
        <v>0</v>
      </c>
      <c r="HQ11" t="str">
        <f>IF('Raw File'!C11&gt;0,"1"," ")</f>
        <v xml:space="preserve"> </v>
      </c>
    </row>
    <row r="12" spans="1:225" x14ac:dyDescent="0.35">
      <c r="A12" t="str">
        <f>IF('Raw File'!E12&gt;0,'Raw File'!E12, " ")</f>
        <v xml:space="preserve"> </v>
      </c>
      <c r="B12" t="str">
        <f>IF('Raw File'!D12&gt;0,'Raw File'!D12," ")</f>
        <v xml:space="preserve"> </v>
      </c>
      <c r="C12" t="str">
        <f>IF('Raw File'!F12&gt;0,'Raw File'!F12, " ")</f>
        <v xml:space="preserve"> </v>
      </c>
      <c r="D12" s="1" t="str">
        <f>IF('Raw File'!R12&gt;0,'Raw File'!R12, " ")</f>
        <v xml:space="preserve"> </v>
      </c>
      <c r="E12" t="str">
        <f>IF('Raw File'!C12&gt;0, 296, " ")</f>
        <v xml:space="preserve"> </v>
      </c>
      <c r="F12" s="10" t="str">
        <f>IF('Raw File'!C12&gt;0, "5", " ")</f>
        <v xml:space="preserve"> </v>
      </c>
      <c r="G12" t="str">
        <f>IF('Raw File'!C12&gt;0, "X", " ")</f>
        <v xml:space="preserve"> </v>
      </c>
      <c r="H12" t="str">
        <f>IF('Raw File'!N12="H", "S", LEFT('Raw File'!N12, 1))</f>
        <v/>
      </c>
      <c r="J12" t="str">
        <f>IF('Raw File'!J12&gt;0,'Raw File'!J12," ")</f>
        <v xml:space="preserve"> </v>
      </c>
      <c r="L12" t="str">
        <f>IF('Raw File'!M12&gt;0,'Raw File'!M12," ")</f>
        <v xml:space="preserve"> </v>
      </c>
      <c r="M12" t="str">
        <f>IF('Raw File'!K12&gt;0,'Raw File'!K12," ")</f>
        <v xml:space="preserve"> </v>
      </c>
      <c r="N12" t="str">
        <f>IF('Raw File'!L12&gt;0,'Raw File'!L12," ")</f>
        <v xml:space="preserve"> </v>
      </c>
      <c r="U12" t="str">
        <f>IF('Raw File'!Q12&gt;0,'Raw File'!Q12," ")</f>
        <v xml:space="preserve"> </v>
      </c>
      <c r="Y12" t="str">
        <f>IF('Raw File'!C12&gt;0,'Raw File'!C12," ")</f>
        <v xml:space="preserve"> </v>
      </c>
      <c r="Z12" t="str">
        <f>IF('Raw File'!C12&gt;0, "A", " ")</f>
        <v xml:space="preserve"> </v>
      </c>
      <c r="AA12" t="str">
        <f>IF('Raw File'!C12&gt;0, "F", " ")</f>
        <v xml:space="preserve"> </v>
      </c>
      <c r="AB12" t="str">
        <f>IF('Raw File'!H12&gt;0,'Raw File'!H12," ")</f>
        <v xml:space="preserve"> </v>
      </c>
      <c r="AC12" s="11" t="str">
        <f>IF('Raw File'!C12&gt;0,IF(WhatColor('Raw File'!C12)&gt;10,8810,8018)," ")</f>
        <v xml:space="preserve"> </v>
      </c>
      <c r="AD12" s="1" t="str">
        <f>IF('Raw File'!C12&gt;0,'Raw File'!A12," ")</f>
        <v xml:space="preserve"> </v>
      </c>
      <c r="AE12" s="1" t="str">
        <f>IF('Raw File'!C12&gt;0,'Raw File'!A12," ")</f>
        <v xml:space="preserve"> </v>
      </c>
      <c r="AF12" s="1" t="str">
        <f>IF('Raw File'!C12&gt;0,'Raw File'!A12," ")</f>
        <v xml:space="preserve"> </v>
      </c>
      <c r="AG12" t="str">
        <f>IF('Raw File'!C12&gt;0,'Raw File'!C12, " ")</f>
        <v xml:space="preserve"> </v>
      </c>
      <c r="AQ12" t="str">
        <f>IF('Raw File'!G12&gt;0, IF('Raw File'!G12&lt;100, "H", "S"), " ")</f>
        <v xml:space="preserve"> </v>
      </c>
      <c r="AR12" t="str">
        <f>IF('Raw File'!G12&gt;0,'Raw File'!G12," ")</f>
        <v xml:space="preserve"> </v>
      </c>
      <c r="AT12" t="str">
        <f>IF('Raw File'!C12&gt;0,40," ")</f>
        <v xml:space="preserve"> </v>
      </c>
      <c r="AV12" t="str">
        <f>IF('Raw File'!N12= 0, " ", IF('Raw File'!N12="S", "SS", IF( 'Raw File'!N12= "M", "MJ", IF('Raw File'!N12= "H", "H"))))</f>
        <v xml:space="preserve"> </v>
      </c>
      <c r="AW12" s="12"/>
      <c r="AX12" t="str">
        <f>LEFT('Raw File'!P12,1)</f>
        <v/>
      </c>
      <c r="AY12" t="str">
        <f>LEFT('Raw File'!N12,1)</f>
        <v/>
      </c>
      <c r="AZ12">
        <f>IF('Raw File'!O12="exempt",99,IF('Raw File'!O12&gt;0,'Raw File'!O12/2000,IF('Raw File'!O12=0,'Raw File'!O12," ")))</f>
        <v>0</v>
      </c>
      <c r="BA12" t="str">
        <f>LEFT('Raw File'!P12,1)</f>
        <v/>
      </c>
      <c r="BJ12" t="str">
        <f>IF('Raw File'!C12&gt;0,"1"," ")</f>
        <v xml:space="preserve"> </v>
      </c>
      <c r="BX12" t="str">
        <f>IF('Raw File'!C12&gt;0,"WEEKLY"," ")</f>
        <v xml:space="preserve"> </v>
      </c>
      <c r="CA12" t="str">
        <f>IF('Raw File'!C12&gt;0, "N"," ")</f>
        <v xml:space="preserve"> </v>
      </c>
      <c r="CI12" t="str">
        <f>IF('Raw File'!C12&gt;0, "W", " ")</f>
        <v xml:space="preserve"> </v>
      </c>
      <c r="DN12" s="1" t="str">
        <f>IF('Raw File'!C12&gt;0,'Raw File'!A12," ")</f>
        <v xml:space="preserve"> </v>
      </c>
      <c r="GY12">
        <f>IF('Raw File'!O12=" "," ",IF('Raw File'!O12&gt;100,'Raw File'!O12,IF('Raw File'!O12="exempt","99999",IF('Raw File'!O12&lt;100, 'Raw File'!O12*2000, " "))))</f>
        <v>0</v>
      </c>
      <c r="HQ12" t="str">
        <f>IF('Raw File'!C12&gt;0,"1"," ")</f>
        <v xml:space="preserve"> </v>
      </c>
    </row>
    <row r="13" spans="1:225" x14ac:dyDescent="0.35">
      <c r="A13" t="str">
        <f>IF('Raw File'!E13&gt;0,'Raw File'!E13, " ")</f>
        <v xml:space="preserve"> </v>
      </c>
      <c r="B13" t="str">
        <f>IF('Raw File'!D13&gt;0,'Raw File'!D13," ")</f>
        <v xml:space="preserve"> </v>
      </c>
      <c r="C13" t="str">
        <f>IF('Raw File'!F13&gt;0,'Raw File'!F13, " ")</f>
        <v xml:space="preserve"> </v>
      </c>
      <c r="D13" s="1" t="str">
        <f>IF('Raw File'!R13&gt;0,'Raw File'!R13, " ")</f>
        <v xml:space="preserve"> </v>
      </c>
      <c r="E13" t="str">
        <f>IF('Raw File'!C13&gt;0, 296, " ")</f>
        <v xml:space="preserve"> </v>
      </c>
      <c r="F13" s="10" t="str">
        <f>IF('Raw File'!C13&gt;0, "5", " ")</f>
        <v xml:space="preserve"> </v>
      </c>
      <c r="G13" t="str">
        <f>IF('Raw File'!C13&gt;0, "X", " ")</f>
        <v xml:space="preserve"> </v>
      </c>
      <c r="H13" t="str">
        <f>IF('Raw File'!N13="H", "S", LEFT('Raw File'!N13, 1))</f>
        <v/>
      </c>
      <c r="J13" t="str">
        <f>IF('Raw File'!J13&gt;0,'Raw File'!J13," ")</f>
        <v xml:space="preserve"> </v>
      </c>
      <c r="L13" t="str">
        <f>IF('Raw File'!M13&gt;0,'Raw File'!M13," ")</f>
        <v xml:space="preserve"> </v>
      </c>
      <c r="M13" t="str">
        <f>IF('Raw File'!K13&gt;0,'Raw File'!K13," ")</f>
        <v xml:space="preserve"> </v>
      </c>
      <c r="N13" t="str">
        <f>IF('Raw File'!L13&gt;0,'Raw File'!L13," ")</f>
        <v xml:space="preserve"> </v>
      </c>
      <c r="U13" t="str">
        <f>IF('Raw File'!Q13&gt;0,'Raw File'!Q13," ")</f>
        <v xml:space="preserve"> </v>
      </c>
      <c r="Y13" t="str">
        <f>IF('Raw File'!C13&gt;0,'Raw File'!C13," ")</f>
        <v xml:space="preserve"> </v>
      </c>
      <c r="Z13" t="str">
        <f>IF('Raw File'!C13&gt;0, "A", " ")</f>
        <v xml:space="preserve"> </v>
      </c>
      <c r="AA13" t="str">
        <f>IF('Raw File'!C13&gt;0, "F", " ")</f>
        <v xml:space="preserve"> </v>
      </c>
      <c r="AB13" t="str">
        <f>IF('Raw File'!H13&gt;0,'Raw File'!H13," ")</f>
        <v xml:space="preserve"> </v>
      </c>
      <c r="AC13" s="11" t="str">
        <f>IF('Raw File'!C13&gt;0,IF(WhatColor('Raw File'!C13)&gt;10,8810,8018)," ")</f>
        <v xml:space="preserve"> </v>
      </c>
      <c r="AD13" s="1" t="str">
        <f>IF('Raw File'!C13&gt;0,'Raw File'!A13," ")</f>
        <v xml:space="preserve"> </v>
      </c>
      <c r="AE13" s="1" t="str">
        <f>IF('Raw File'!C13&gt;0,'Raw File'!A13," ")</f>
        <v xml:space="preserve"> </v>
      </c>
      <c r="AF13" s="1" t="str">
        <f>IF('Raw File'!C13&gt;0,'Raw File'!A13," ")</f>
        <v xml:space="preserve"> </v>
      </c>
      <c r="AG13" t="str">
        <f>IF('Raw File'!C13&gt;0,'Raw File'!C13, " ")</f>
        <v xml:space="preserve"> </v>
      </c>
      <c r="AQ13" t="str">
        <f>IF('Raw File'!G13&gt;0, IF('Raw File'!G13&lt;100, "H", "S"), " ")</f>
        <v xml:space="preserve"> </v>
      </c>
      <c r="AR13" t="str">
        <f>IF('Raw File'!G13&gt;0,'Raw File'!G13," ")</f>
        <v xml:space="preserve"> </v>
      </c>
      <c r="AT13" t="str">
        <f>IF('Raw File'!C13&gt;0,40," ")</f>
        <v xml:space="preserve"> </v>
      </c>
      <c r="AV13" t="str">
        <f>IF('Raw File'!N13= 0, " ", IF('Raw File'!N13="S", "SS", IF( 'Raw File'!N13= "M", "MJ", IF('Raw File'!N13= "H", "H"))))</f>
        <v xml:space="preserve"> </v>
      </c>
      <c r="AW13" s="12"/>
      <c r="AX13" t="str">
        <f>LEFT('Raw File'!P13,1)</f>
        <v/>
      </c>
      <c r="AY13" t="str">
        <f>LEFT('Raw File'!N13,1)</f>
        <v/>
      </c>
      <c r="AZ13">
        <f>IF('Raw File'!O13="exempt",99,IF('Raw File'!O13&gt;0,'Raw File'!O13/2000,IF('Raw File'!O13=0,'Raw File'!O13," ")))</f>
        <v>0</v>
      </c>
      <c r="BA13" t="str">
        <f>LEFT('Raw File'!P13,1)</f>
        <v/>
      </c>
      <c r="BJ13" t="str">
        <f>IF('Raw File'!C13&gt;0,"1"," ")</f>
        <v xml:space="preserve"> </v>
      </c>
      <c r="BX13" t="str">
        <f>IF('Raw File'!C13&gt;0,"WEEKLY"," ")</f>
        <v xml:space="preserve"> </v>
      </c>
      <c r="CA13" t="str">
        <f>IF('Raw File'!C13&gt;0, "N"," ")</f>
        <v xml:space="preserve"> </v>
      </c>
      <c r="CI13" t="str">
        <f>IF('Raw File'!C13&gt;0, "W", " ")</f>
        <v xml:space="preserve"> </v>
      </c>
      <c r="DN13" s="1" t="str">
        <f>IF('Raw File'!C13&gt;0,'Raw File'!A13," ")</f>
        <v xml:space="preserve"> </v>
      </c>
      <c r="GY13">
        <f>IF('Raw File'!O13=" "," ",IF('Raw File'!O13&gt;100,'Raw File'!O13,IF('Raw File'!O13="exempt","99999",IF('Raw File'!O13&lt;100, 'Raw File'!O13*2000, " "))))</f>
        <v>0</v>
      </c>
      <c r="HQ13" t="str">
        <f>IF('Raw File'!C13&gt;0,"1"," ")</f>
        <v xml:space="preserve"> </v>
      </c>
    </row>
    <row r="14" spans="1:225" x14ac:dyDescent="0.35">
      <c r="A14" t="str">
        <f>IF('Raw File'!E14&gt;0,'Raw File'!E14, " ")</f>
        <v xml:space="preserve"> </v>
      </c>
      <c r="B14" t="str">
        <f>IF('Raw File'!D14&gt;0,'Raw File'!D14," ")</f>
        <v xml:space="preserve"> </v>
      </c>
      <c r="C14" t="str">
        <f>IF('Raw File'!F14&gt;0,'Raw File'!F14, " ")</f>
        <v xml:space="preserve"> </v>
      </c>
      <c r="D14" s="1" t="str">
        <f>IF('Raw File'!R14&gt;0,'Raw File'!R14, " ")</f>
        <v xml:space="preserve"> </v>
      </c>
      <c r="E14" t="str">
        <f>IF('Raw File'!C14&gt;0, 296, " ")</f>
        <v xml:space="preserve"> </v>
      </c>
      <c r="F14" s="10" t="str">
        <f>IF('Raw File'!C14&gt;0, "5", " ")</f>
        <v xml:space="preserve"> </v>
      </c>
      <c r="G14" t="str">
        <f>IF('Raw File'!C14&gt;0, "X", " ")</f>
        <v xml:space="preserve"> </v>
      </c>
      <c r="H14" t="str">
        <f>IF('Raw File'!N14="H", "S", LEFT('Raw File'!N14, 1))</f>
        <v/>
      </c>
      <c r="J14" t="str">
        <f>IF('Raw File'!J14&gt;0,'Raw File'!J14," ")</f>
        <v xml:space="preserve"> </v>
      </c>
      <c r="L14" t="str">
        <f>IF('Raw File'!M14&gt;0,'Raw File'!M14," ")</f>
        <v xml:space="preserve"> </v>
      </c>
      <c r="M14" t="str">
        <f>IF('Raw File'!K14&gt;0,'Raw File'!K14," ")</f>
        <v xml:space="preserve"> </v>
      </c>
      <c r="N14" t="str">
        <f>IF('Raw File'!L14&gt;0,'Raw File'!L14," ")</f>
        <v xml:space="preserve"> </v>
      </c>
      <c r="U14" t="str">
        <f>IF('Raw File'!Q14&gt;0,'Raw File'!Q14," ")</f>
        <v xml:space="preserve"> </v>
      </c>
      <c r="Y14" t="str">
        <f>IF('Raw File'!C14&gt;0,'Raw File'!C14," ")</f>
        <v xml:space="preserve"> </v>
      </c>
      <c r="Z14" t="str">
        <f>IF('Raw File'!C14&gt;0, "A", " ")</f>
        <v xml:space="preserve"> </v>
      </c>
      <c r="AA14" t="str">
        <f>IF('Raw File'!C14&gt;0, "F", " ")</f>
        <v xml:space="preserve"> </v>
      </c>
      <c r="AB14" t="str">
        <f>IF('Raw File'!H14&gt;0,'Raw File'!H14," ")</f>
        <v xml:space="preserve"> </v>
      </c>
      <c r="AC14" s="11" t="str">
        <f>IF('Raw File'!C14&gt;0,IF(WhatColor('Raw File'!C14)&gt;10,8810,8018)," ")</f>
        <v xml:space="preserve"> </v>
      </c>
      <c r="AD14" s="1" t="str">
        <f>IF('Raw File'!C14&gt;0,'Raw File'!A14," ")</f>
        <v xml:space="preserve"> </v>
      </c>
      <c r="AE14" s="1" t="str">
        <f>IF('Raw File'!C14&gt;0,'Raw File'!A14," ")</f>
        <v xml:space="preserve"> </v>
      </c>
      <c r="AF14" s="1" t="str">
        <f>IF('Raw File'!C14&gt;0,'Raw File'!A14," ")</f>
        <v xml:space="preserve"> </v>
      </c>
      <c r="AG14" t="str">
        <f>IF('Raw File'!C14&gt;0,'Raw File'!C14, " ")</f>
        <v xml:space="preserve"> </v>
      </c>
      <c r="AQ14" t="str">
        <f>IF('Raw File'!G14&gt;0, IF('Raw File'!G14&lt;100, "H", "S"), " ")</f>
        <v xml:space="preserve"> </v>
      </c>
      <c r="AR14" t="str">
        <f>IF('Raw File'!G14&gt;0,'Raw File'!G14," ")</f>
        <v xml:space="preserve"> </v>
      </c>
      <c r="AT14" t="str">
        <f>IF('Raw File'!C14&gt;0,40," ")</f>
        <v xml:space="preserve"> </v>
      </c>
      <c r="AV14" t="str">
        <f>IF('Raw File'!N14= 0, " ", IF('Raw File'!N14="S", "SS", IF( 'Raw File'!N14= "M", "MJ", IF('Raw File'!N14= "H", "H"))))</f>
        <v xml:space="preserve"> </v>
      </c>
      <c r="AW14" s="12"/>
      <c r="AX14" t="str">
        <f>LEFT('Raw File'!P14,1)</f>
        <v/>
      </c>
      <c r="AY14" t="str">
        <f>LEFT('Raw File'!N14,1)</f>
        <v/>
      </c>
      <c r="AZ14">
        <f>IF('Raw File'!O14="exempt",99,IF('Raw File'!O14&gt;0,'Raw File'!O14/2000,IF('Raw File'!O14=0,'Raw File'!O14," ")))</f>
        <v>0</v>
      </c>
      <c r="BA14" t="str">
        <f>LEFT('Raw File'!P14,1)</f>
        <v/>
      </c>
      <c r="BJ14" t="str">
        <f>IF('Raw File'!C14&gt;0,"1"," ")</f>
        <v xml:space="preserve"> </v>
      </c>
      <c r="BX14" t="str">
        <f>IF('Raw File'!C14&gt;0,"WEEKLY"," ")</f>
        <v xml:space="preserve"> </v>
      </c>
      <c r="CA14" t="str">
        <f>IF('Raw File'!C14&gt;0, "N"," ")</f>
        <v xml:space="preserve"> </v>
      </c>
      <c r="CI14" t="str">
        <f>IF('Raw File'!C14&gt;0, "W", " ")</f>
        <v xml:space="preserve"> </v>
      </c>
      <c r="DN14" s="1" t="str">
        <f>IF('Raw File'!C14&gt;0,'Raw File'!A14," ")</f>
        <v xml:space="preserve"> </v>
      </c>
      <c r="GY14">
        <f>IF('Raw File'!O14=" "," ",IF('Raw File'!O14&gt;100,'Raw File'!O14,IF('Raw File'!O14="exempt","99999",IF('Raw File'!O14&lt;100, 'Raw File'!O14*2000, " "))))</f>
        <v>0</v>
      </c>
      <c r="HQ14" t="str">
        <f>IF('Raw File'!C14&gt;0,"1"," ")</f>
        <v xml:space="preserve"> </v>
      </c>
    </row>
    <row r="15" spans="1:225" x14ac:dyDescent="0.35">
      <c r="A15" t="str">
        <f>IF('Raw File'!E15&gt;0,'Raw File'!E15, " ")</f>
        <v xml:space="preserve"> </v>
      </c>
      <c r="B15" t="str">
        <f>IF('Raw File'!D15&gt;0,'Raw File'!D15," ")</f>
        <v xml:space="preserve"> </v>
      </c>
      <c r="C15" t="str">
        <f>IF('Raw File'!F15&gt;0,'Raw File'!F15, " ")</f>
        <v xml:space="preserve"> </v>
      </c>
      <c r="D15" s="1" t="str">
        <f>IF('Raw File'!R15&gt;0,'Raw File'!R15, " ")</f>
        <v xml:space="preserve"> </v>
      </c>
      <c r="E15" t="str">
        <f>IF('Raw File'!C15&gt;0, 296, " ")</f>
        <v xml:space="preserve"> </v>
      </c>
      <c r="F15" s="10" t="str">
        <f>IF('Raw File'!C15&gt;0, "5", " ")</f>
        <v xml:space="preserve"> </v>
      </c>
      <c r="G15" t="str">
        <f>IF('Raw File'!C15&gt;0, "X", " ")</f>
        <v xml:space="preserve"> </v>
      </c>
      <c r="H15" t="str">
        <f>IF('Raw File'!N15="H", "S", LEFT('Raw File'!N15, 1))</f>
        <v/>
      </c>
      <c r="J15" t="str">
        <f>IF('Raw File'!J15&gt;0,'Raw File'!J15," ")</f>
        <v xml:space="preserve"> </v>
      </c>
      <c r="L15" t="str">
        <f>IF('Raw File'!M15&gt;0,'Raw File'!M15," ")</f>
        <v xml:space="preserve"> </v>
      </c>
      <c r="M15" t="str">
        <f>IF('Raw File'!K15&gt;0,'Raw File'!K15," ")</f>
        <v xml:space="preserve"> </v>
      </c>
      <c r="N15" t="str">
        <f>IF('Raw File'!L15&gt;0,'Raw File'!L15," ")</f>
        <v xml:space="preserve"> </v>
      </c>
      <c r="U15" t="str">
        <f>IF('Raw File'!Q15&gt;0,'Raw File'!Q15," ")</f>
        <v xml:space="preserve"> </v>
      </c>
      <c r="Y15" t="str">
        <f>IF('Raw File'!C15&gt;0,'Raw File'!C15," ")</f>
        <v xml:space="preserve"> </v>
      </c>
      <c r="Z15" t="str">
        <f>IF('Raw File'!C15&gt;0, "A", " ")</f>
        <v xml:space="preserve"> </v>
      </c>
      <c r="AA15" t="str">
        <f>IF('Raw File'!C15&gt;0, "F", " ")</f>
        <v xml:space="preserve"> </v>
      </c>
      <c r="AB15" t="str">
        <f>IF('Raw File'!H15&gt;0,'Raw File'!H15," ")</f>
        <v xml:space="preserve"> </v>
      </c>
      <c r="AC15" s="11" t="str">
        <f>IF('Raw File'!C15&gt;0,IF(WhatColor('Raw File'!C15)&gt;10,8810,8018)," ")</f>
        <v xml:space="preserve"> </v>
      </c>
      <c r="AD15" s="1" t="str">
        <f>IF('Raw File'!C15&gt;0,'Raw File'!A15," ")</f>
        <v xml:space="preserve"> </v>
      </c>
      <c r="AE15" s="1" t="str">
        <f>IF('Raw File'!C15&gt;0,'Raw File'!A15," ")</f>
        <v xml:space="preserve"> </v>
      </c>
      <c r="AF15" s="1" t="str">
        <f>IF('Raw File'!C15&gt;0,'Raw File'!A15," ")</f>
        <v xml:space="preserve"> </v>
      </c>
      <c r="AG15" t="str">
        <f>IF('Raw File'!C15&gt;0,'Raw File'!C15, " ")</f>
        <v xml:space="preserve"> </v>
      </c>
      <c r="AQ15" t="str">
        <f>IF('Raw File'!G15&gt;0, IF('Raw File'!G15&lt;100, "H", "S"), " ")</f>
        <v xml:space="preserve"> </v>
      </c>
      <c r="AR15" t="str">
        <f>IF('Raw File'!G15&gt;0,'Raw File'!G15," ")</f>
        <v xml:space="preserve"> </v>
      </c>
      <c r="AT15" t="str">
        <f>IF('Raw File'!C15&gt;0,40," ")</f>
        <v xml:space="preserve"> </v>
      </c>
      <c r="AV15" t="str">
        <f>IF('Raw File'!N15= 0, " ", IF('Raw File'!N15="S", "SS", IF( 'Raw File'!N15= "M", "MJ", IF('Raw File'!N15= "H", "H"))))</f>
        <v xml:space="preserve"> </v>
      </c>
      <c r="AW15" s="12"/>
      <c r="AX15" t="str">
        <f>LEFT('Raw File'!P15,1)</f>
        <v/>
      </c>
      <c r="AY15" t="str">
        <f>LEFT('Raw File'!N15,1)</f>
        <v/>
      </c>
      <c r="AZ15">
        <f>IF('Raw File'!O15="exempt",99,IF('Raw File'!O15&gt;0,'Raw File'!O15/2000,IF('Raw File'!O15=0,'Raw File'!O15," ")))</f>
        <v>0</v>
      </c>
      <c r="BA15" t="str">
        <f>LEFT('Raw File'!P15,1)</f>
        <v/>
      </c>
      <c r="BJ15" t="str">
        <f>IF('Raw File'!C15&gt;0,"1"," ")</f>
        <v xml:space="preserve"> </v>
      </c>
      <c r="BX15" t="str">
        <f>IF('Raw File'!C15&gt;0,"WEEKLY"," ")</f>
        <v xml:space="preserve"> </v>
      </c>
      <c r="CA15" t="str">
        <f>IF('Raw File'!C15&gt;0, "N"," ")</f>
        <v xml:space="preserve"> </v>
      </c>
      <c r="CI15" t="str">
        <f>IF('Raw File'!C15&gt;0, "W", " ")</f>
        <v xml:space="preserve"> </v>
      </c>
      <c r="DN15" s="1" t="str">
        <f>IF('Raw File'!C15&gt;0,'Raw File'!A15," ")</f>
        <v xml:space="preserve"> </v>
      </c>
      <c r="GY15">
        <f>IF('Raw File'!O15=" "," ",IF('Raw File'!O15&gt;100,'Raw File'!O15,IF('Raw File'!O15="exempt","99999",IF('Raw File'!O15&lt;100, 'Raw File'!O15*2000, " "))))</f>
        <v>0</v>
      </c>
      <c r="HQ15" t="str">
        <f>IF('Raw File'!C15&gt;0,"1"," ")</f>
        <v xml:space="preserve"> </v>
      </c>
    </row>
    <row r="16" spans="1:225" x14ac:dyDescent="0.35">
      <c r="A16" t="str">
        <f>IF('Raw File'!E16&gt;0,'Raw File'!E16, " ")</f>
        <v xml:space="preserve"> </v>
      </c>
      <c r="B16" t="str">
        <f>IF('Raw File'!D16&gt;0,'Raw File'!D16," ")</f>
        <v xml:space="preserve"> </v>
      </c>
      <c r="C16" t="str">
        <f>IF('Raw File'!F16&gt;0,'Raw File'!F16, " ")</f>
        <v xml:space="preserve"> </v>
      </c>
      <c r="D16" s="1" t="str">
        <f>IF('Raw File'!R16&gt;0,'Raw File'!R16, " ")</f>
        <v xml:space="preserve"> </v>
      </c>
      <c r="E16" t="str">
        <f>IF('Raw File'!C16&gt;0, 296, " ")</f>
        <v xml:space="preserve"> </v>
      </c>
      <c r="F16" s="10" t="str">
        <f>IF('Raw File'!C16&gt;0, "5", " ")</f>
        <v xml:space="preserve"> </v>
      </c>
      <c r="G16" t="str">
        <f>IF('Raw File'!C16&gt;0, "X", " ")</f>
        <v xml:space="preserve"> </v>
      </c>
      <c r="H16" t="str">
        <f>IF('Raw File'!N16="H", "S", LEFT('Raw File'!N16, 1))</f>
        <v/>
      </c>
      <c r="J16" t="str">
        <f>IF('Raw File'!J16&gt;0,'Raw File'!J16," ")</f>
        <v xml:space="preserve"> </v>
      </c>
      <c r="L16" t="str">
        <f>IF('Raw File'!M16&gt;0,'Raw File'!M16," ")</f>
        <v xml:space="preserve"> </v>
      </c>
      <c r="M16" t="str">
        <f>IF('Raw File'!K16&gt;0,'Raw File'!K16," ")</f>
        <v xml:space="preserve"> </v>
      </c>
      <c r="N16" t="str">
        <f>IF('Raw File'!L16&gt;0,'Raw File'!L16," ")</f>
        <v xml:space="preserve"> </v>
      </c>
      <c r="U16" t="str">
        <f>IF('Raw File'!Q16&gt;0,'Raw File'!Q16," ")</f>
        <v xml:space="preserve"> </v>
      </c>
      <c r="Y16" t="str">
        <f>IF('Raw File'!C16&gt;0,'Raw File'!C16," ")</f>
        <v xml:space="preserve"> </v>
      </c>
      <c r="Z16" t="str">
        <f>IF('Raw File'!C16&gt;0, "A", " ")</f>
        <v xml:space="preserve"> </v>
      </c>
      <c r="AA16" t="str">
        <f>IF('Raw File'!C16&gt;0, "F", " ")</f>
        <v xml:space="preserve"> </v>
      </c>
      <c r="AB16" t="str">
        <f>IF('Raw File'!H16&gt;0,'Raw File'!H16," ")</f>
        <v xml:space="preserve"> </v>
      </c>
      <c r="AC16" s="11" t="str">
        <f>IF('Raw File'!C16&gt;0,IF(WhatColor('Raw File'!C16)&gt;10,8810,8018)," ")</f>
        <v xml:space="preserve"> </v>
      </c>
      <c r="AD16" s="1" t="str">
        <f>IF('Raw File'!C16&gt;0,'Raw File'!A16," ")</f>
        <v xml:space="preserve"> </v>
      </c>
      <c r="AE16" s="1" t="str">
        <f>IF('Raw File'!C16&gt;0,'Raw File'!A16," ")</f>
        <v xml:space="preserve"> </v>
      </c>
      <c r="AF16" s="1" t="str">
        <f>IF('Raw File'!C16&gt;0,'Raw File'!A16," ")</f>
        <v xml:space="preserve"> </v>
      </c>
      <c r="AG16" t="str">
        <f>IF('Raw File'!C16&gt;0,'Raw File'!C16, " ")</f>
        <v xml:space="preserve"> </v>
      </c>
      <c r="AQ16" t="str">
        <f>IF('Raw File'!G16&gt;0, IF('Raw File'!G16&lt;100, "H", "S"), " ")</f>
        <v xml:space="preserve"> </v>
      </c>
      <c r="AR16" t="str">
        <f>IF('Raw File'!G16&gt;0,'Raw File'!G16," ")</f>
        <v xml:space="preserve"> </v>
      </c>
      <c r="AT16" t="str">
        <f>IF('Raw File'!C16&gt;0,40," ")</f>
        <v xml:space="preserve"> </v>
      </c>
      <c r="AV16" t="str">
        <f>IF('Raw File'!N16= 0, " ", IF('Raw File'!N16="S", "SS", IF( 'Raw File'!N16= "M", "MJ", IF('Raw File'!N16= "H", "H"))))</f>
        <v xml:space="preserve"> </v>
      </c>
      <c r="AW16" s="12"/>
      <c r="AX16" t="str">
        <f>LEFT('Raw File'!P16,1)</f>
        <v/>
      </c>
      <c r="AY16" t="str">
        <f>LEFT('Raw File'!N16,1)</f>
        <v/>
      </c>
      <c r="AZ16">
        <f>IF('Raw File'!O16="exempt",99,IF('Raw File'!O16&gt;0,'Raw File'!O16/2000,IF('Raw File'!O16=0,'Raw File'!O16," ")))</f>
        <v>0</v>
      </c>
      <c r="BA16" t="str">
        <f>LEFT('Raw File'!P16,1)</f>
        <v/>
      </c>
      <c r="BJ16" t="str">
        <f>IF('Raw File'!C16&gt;0,"1"," ")</f>
        <v xml:space="preserve"> </v>
      </c>
      <c r="BX16" t="str">
        <f>IF('Raw File'!C16&gt;0,"WEEKLY"," ")</f>
        <v xml:space="preserve"> </v>
      </c>
      <c r="CA16" t="str">
        <f>IF('Raw File'!C16&gt;0, "N"," ")</f>
        <v xml:space="preserve"> </v>
      </c>
      <c r="CI16" t="str">
        <f>IF('Raw File'!C16&gt;0, "W", " ")</f>
        <v xml:space="preserve"> </v>
      </c>
      <c r="DN16" s="1" t="str">
        <f>IF('Raw File'!C16&gt;0,'Raw File'!A16," ")</f>
        <v xml:space="preserve"> </v>
      </c>
      <c r="GY16">
        <f>IF('Raw File'!O16=" "," ",IF('Raw File'!O16&gt;100,'Raw File'!O16,IF('Raw File'!O16="exempt","99999",IF('Raw File'!O16&lt;100, 'Raw File'!O16*2000, " "))))</f>
        <v>0</v>
      </c>
      <c r="HQ16" t="str">
        <f>IF('Raw File'!C16&gt;0,"1"," ")</f>
        <v xml:space="preserve"> </v>
      </c>
    </row>
    <row r="17" spans="1:225" x14ac:dyDescent="0.35">
      <c r="A17" t="str">
        <f>IF('Raw File'!E17&gt;0,'Raw File'!E17, " ")</f>
        <v xml:space="preserve"> </v>
      </c>
      <c r="B17" t="str">
        <f>IF('Raw File'!D17&gt;0,'Raw File'!D17," ")</f>
        <v xml:space="preserve"> </v>
      </c>
      <c r="C17" t="str">
        <f>IF('Raw File'!F17&gt;0,'Raw File'!F17, " ")</f>
        <v xml:space="preserve"> </v>
      </c>
      <c r="D17" s="1" t="str">
        <f>IF('Raw File'!R17&gt;0,'Raw File'!R17, " ")</f>
        <v xml:space="preserve"> </v>
      </c>
      <c r="E17" t="str">
        <f>IF('Raw File'!C17&gt;0, 296, " ")</f>
        <v xml:space="preserve"> </v>
      </c>
      <c r="F17" s="10" t="str">
        <f>IF('Raw File'!C17&gt;0, "5", " ")</f>
        <v xml:space="preserve"> </v>
      </c>
      <c r="G17" t="str">
        <f>IF('Raw File'!C17&gt;0, "X", " ")</f>
        <v xml:space="preserve"> </v>
      </c>
      <c r="H17" t="str">
        <f>IF('Raw File'!N17="H", "S", LEFT('Raw File'!N17, 1))</f>
        <v/>
      </c>
      <c r="J17" t="str">
        <f>IF('Raw File'!J17&gt;0,'Raw File'!J17," ")</f>
        <v xml:space="preserve"> </v>
      </c>
      <c r="L17" t="str">
        <f>IF('Raw File'!M17&gt;0,'Raw File'!M17," ")</f>
        <v xml:space="preserve"> </v>
      </c>
      <c r="M17" t="str">
        <f>IF('Raw File'!K17&gt;0,'Raw File'!K17," ")</f>
        <v xml:space="preserve"> </v>
      </c>
      <c r="N17" t="str">
        <f>IF('Raw File'!L17&gt;0,'Raw File'!L17," ")</f>
        <v xml:space="preserve"> </v>
      </c>
      <c r="U17" t="str">
        <f>IF('Raw File'!Q17&gt;0,'Raw File'!Q17," ")</f>
        <v xml:space="preserve"> </v>
      </c>
      <c r="Y17" t="str">
        <f>IF('Raw File'!C17&gt;0,'Raw File'!C17," ")</f>
        <v xml:space="preserve"> </v>
      </c>
      <c r="Z17" t="str">
        <f>IF('Raw File'!C17&gt;0, "A", " ")</f>
        <v xml:space="preserve"> </v>
      </c>
      <c r="AA17" t="str">
        <f>IF('Raw File'!C17&gt;0, "F", " ")</f>
        <v xml:space="preserve"> </v>
      </c>
      <c r="AB17" t="str">
        <f>IF('Raw File'!H17&gt;0,'Raw File'!H17," ")</f>
        <v xml:space="preserve"> </v>
      </c>
      <c r="AC17" s="11" t="str">
        <f>IF('Raw File'!C17&gt;0,IF(WhatColor('Raw File'!C17)&gt;10,8810,8018)," ")</f>
        <v xml:space="preserve"> </v>
      </c>
      <c r="AD17" s="1" t="str">
        <f>IF('Raw File'!C17&gt;0,'Raw File'!A17," ")</f>
        <v xml:space="preserve"> </v>
      </c>
      <c r="AE17" s="1" t="str">
        <f>IF('Raw File'!C17&gt;0,'Raw File'!A17," ")</f>
        <v xml:space="preserve"> </v>
      </c>
      <c r="AF17" s="1" t="str">
        <f>IF('Raw File'!C17&gt;0,'Raw File'!A17," ")</f>
        <v xml:space="preserve"> </v>
      </c>
      <c r="AG17" t="str">
        <f>IF('Raw File'!C17&gt;0,'Raw File'!C17, " ")</f>
        <v xml:space="preserve"> </v>
      </c>
      <c r="AQ17" t="str">
        <f>IF('Raw File'!G17&gt;0, IF('Raw File'!G17&lt;100, "H", "S"), " ")</f>
        <v xml:space="preserve"> </v>
      </c>
      <c r="AR17" t="str">
        <f>IF('Raw File'!G17&gt;0,'Raw File'!G17," ")</f>
        <v xml:space="preserve"> </v>
      </c>
      <c r="AT17" t="str">
        <f>IF('Raw File'!C17&gt;0,40," ")</f>
        <v xml:space="preserve"> </v>
      </c>
      <c r="AV17" t="str">
        <f>IF('Raw File'!N17= 0, " ", IF('Raw File'!N17="S", "SS", IF( 'Raw File'!N17= "M", "MJ", IF('Raw File'!N17= "H", "H"))))</f>
        <v xml:space="preserve"> </v>
      </c>
      <c r="AW17" s="12"/>
      <c r="AX17" t="str">
        <f>LEFT('Raw File'!P17,1)</f>
        <v/>
      </c>
      <c r="AY17" t="str">
        <f>LEFT('Raw File'!N17,1)</f>
        <v/>
      </c>
      <c r="AZ17">
        <f>IF('Raw File'!O17="exempt",99,IF('Raw File'!O17&gt;0,'Raw File'!O17/2000,IF('Raw File'!O17=0,'Raw File'!O17," ")))</f>
        <v>0</v>
      </c>
      <c r="BA17" t="str">
        <f>LEFT('Raw File'!P17,1)</f>
        <v/>
      </c>
      <c r="BJ17" t="str">
        <f>IF('Raw File'!C17&gt;0,"1"," ")</f>
        <v xml:space="preserve"> </v>
      </c>
      <c r="BX17" t="str">
        <f>IF('Raw File'!C17&gt;0,"WEEKLY"," ")</f>
        <v xml:space="preserve"> </v>
      </c>
      <c r="CA17" t="str">
        <f>IF('Raw File'!C17&gt;0, "N"," ")</f>
        <v xml:space="preserve"> </v>
      </c>
      <c r="CI17" t="str">
        <f>IF('Raw File'!C17&gt;0, "W", " ")</f>
        <v xml:space="preserve"> </v>
      </c>
      <c r="DN17" s="1" t="str">
        <f>IF('Raw File'!C17&gt;0,'Raw File'!A17," ")</f>
        <v xml:space="preserve"> </v>
      </c>
      <c r="GY17">
        <f>IF('Raw File'!O17=" "," ",IF('Raw File'!O17&gt;100,'Raw File'!O17,IF('Raw File'!O17="exempt","99999",IF('Raw File'!O17&lt;100, 'Raw File'!O17*2000, " "))))</f>
        <v>0</v>
      </c>
      <c r="HQ17" t="str">
        <f>IF('Raw File'!C17&gt;0,"1"," ")</f>
        <v xml:space="preserve"> </v>
      </c>
    </row>
    <row r="18" spans="1:225" x14ac:dyDescent="0.35">
      <c r="A18" t="str">
        <f>IF('Raw File'!E18&gt;0,'Raw File'!E18, " ")</f>
        <v xml:space="preserve"> </v>
      </c>
      <c r="B18" t="str">
        <f>IF('Raw File'!D18&gt;0,'Raw File'!D18," ")</f>
        <v xml:space="preserve"> </v>
      </c>
      <c r="C18" t="str">
        <f>IF('Raw File'!F18&gt;0,'Raw File'!F18, " ")</f>
        <v xml:space="preserve"> </v>
      </c>
      <c r="D18" s="1" t="str">
        <f>IF('Raw File'!R18&gt;0,'Raw File'!R18, " ")</f>
        <v xml:space="preserve"> </v>
      </c>
      <c r="E18" t="str">
        <f>IF('Raw File'!C18&gt;0, 296, " ")</f>
        <v xml:space="preserve"> </v>
      </c>
      <c r="F18" s="10" t="str">
        <f>IF('Raw File'!C18&gt;0, "5", " ")</f>
        <v xml:space="preserve"> </v>
      </c>
      <c r="G18" t="str">
        <f>IF('Raw File'!C18&gt;0, "X", " ")</f>
        <v xml:space="preserve"> </v>
      </c>
      <c r="H18" t="str">
        <f>IF('Raw File'!N18="H", "S", LEFT('Raw File'!N18, 1))</f>
        <v/>
      </c>
      <c r="J18" t="str">
        <f>IF('Raw File'!J18&gt;0,'Raw File'!J18," ")</f>
        <v xml:space="preserve"> </v>
      </c>
      <c r="L18" t="str">
        <f>IF('Raw File'!M18&gt;0,'Raw File'!M18," ")</f>
        <v xml:space="preserve"> </v>
      </c>
      <c r="M18" t="str">
        <f>IF('Raw File'!K18&gt;0,'Raw File'!K18," ")</f>
        <v xml:space="preserve"> </v>
      </c>
      <c r="N18" t="str">
        <f>IF('Raw File'!L18&gt;0,'Raw File'!L18," ")</f>
        <v xml:space="preserve"> </v>
      </c>
      <c r="U18" t="str">
        <f>IF('Raw File'!Q18&gt;0,'Raw File'!Q18," ")</f>
        <v xml:space="preserve"> </v>
      </c>
      <c r="Y18" t="str">
        <f>IF('Raw File'!C18&gt;0,'Raw File'!C18," ")</f>
        <v xml:space="preserve"> </v>
      </c>
      <c r="Z18" t="str">
        <f>IF('Raw File'!C18&gt;0, "A", " ")</f>
        <v xml:space="preserve"> </v>
      </c>
      <c r="AA18" t="str">
        <f>IF('Raw File'!C18&gt;0, "F", " ")</f>
        <v xml:space="preserve"> </v>
      </c>
      <c r="AB18" t="str">
        <f>IF('Raw File'!H18&gt;0,'Raw File'!H18," ")</f>
        <v xml:space="preserve"> </v>
      </c>
      <c r="AC18" s="11" t="str">
        <f>IF('Raw File'!C18&gt;0,IF(WhatColor('Raw File'!C18)&gt;10,8810,8018)," ")</f>
        <v xml:space="preserve"> </v>
      </c>
      <c r="AD18" s="1" t="str">
        <f>IF('Raw File'!C18&gt;0,'Raw File'!A18," ")</f>
        <v xml:space="preserve"> </v>
      </c>
      <c r="AE18" s="1" t="str">
        <f>IF('Raw File'!C18&gt;0,'Raw File'!A18," ")</f>
        <v xml:space="preserve"> </v>
      </c>
      <c r="AF18" s="1" t="str">
        <f>IF('Raw File'!C18&gt;0,'Raw File'!A18," ")</f>
        <v xml:space="preserve"> </v>
      </c>
      <c r="AG18" t="str">
        <f>IF('Raw File'!C18&gt;0,'Raw File'!C18, " ")</f>
        <v xml:space="preserve"> </v>
      </c>
      <c r="AQ18" t="str">
        <f>IF('Raw File'!G18&gt;0, IF('Raw File'!G18&lt;100, "H", "S"), " ")</f>
        <v xml:space="preserve"> </v>
      </c>
      <c r="AR18" t="str">
        <f>IF('Raw File'!G18&gt;0,'Raw File'!G18," ")</f>
        <v xml:space="preserve"> </v>
      </c>
      <c r="AT18" t="str">
        <f>IF('Raw File'!C18&gt;0,40," ")</f>
        <v xml:space="preserve"> </v>
      </c>
      <c r="AV18" t="str">
        <f>IF('Raw File'!N18= 0, " ", IF('Raw File'!N18="S", "SS", IF( 'Raw File'!N18= "M", "MJ", IF('Raw File'!N18= "H", "H"))))</f>
        <v xml:space="preserve"> </v>
      </c>
      <c r="AW18" s="12"/>
      <c r="AX18" t="str">
        <f>LEFT('Raw File'!P18,1)</f>
        <v/>
      </c>
      <c r="AY18" t="str">
        <f>LEFT('Raw File'!N18,1)</f>
        <v/>
      </c>
      <c r="AZ18">
        <f>IF('Raw File'!O18="exempt",99,IF('Raw File'!O18&gt;0,'Raw File'!O18/2000,IF('Raw File'!O18=0,'Raw File'!O18," ")))</f>
        <v>0</v>
      </c>
      <c r="BA18" t="str">
        <f>LEFT('Raw File'!P18,1)</f>
        <v/>
      </c>
      <c r="BJ18" t="str">
        <f>IF('Raw File'!C18&gt;0,"1"," ")</f>
        <v xml:space="preserve"> </v>
      </c>
      <c r="BX18" t="str">
        <f>IF('Raw File'!C18&gt;0,"WEEKLY"," ")</f>
        <v xml:space="preserve"> </v>
      </c>
      <c r="CA18" t="str">
        <f>IF('Raw File'!C18&gt;0, "N"," ")</f>
        <v xml:space="preserve"> </v>
      </c>
      <c r="CI18" t="str">
        <f>IF('Raw File'!C18&gt;0, "W", " ")</f>
        <v xml:space="preserve"> </v>
      </c>
      <c r="DN18" s="1" t="str">
        <f>IF('Raw File'!C18&gt;0,'Raw File'!A18," ")</f>
        <v xml:space="preserve"> </v>
      </c>
      <c r="GY18">
        <f>IF('Raw File'!O18=" "," ",IF('Raw File'!O18&gt;100,'Raw File'!O18,IF('Raw File'!O18="exempt","99999",IF('Raw File'!O18&lt;100, 'Raw File'!O18*2000, " "))))</f>
        <v>0</v>
      </c>
      <c r="HQ18" t="str">
        <f>IF('Raw File'!C18&gt;0,"1"," ")</f>
        <v xml:space="preserve"> </v>
      </c>
    </row>
    <row r="19" spans="1:225" x14ac:dyDescent="0.35">
      <c r="A19" t="str">
        <f>IF('Raw File'!E19&gt;0,'Raw File'!E19, " ")</f>
        <v xml:space="preserve"> </v>
      </c>
      <c r="B19" t="str">
        <f>IF('Raw File'!D19&gt;0,'Raw File'!D19," ")</f>
        <v xml:space="preserve"> </v>
      </c>
      <c r="C19" t="str">
        <f>IF('Raw File'!F19&gt;0,'Raw File'!F19, " ")</f>
        <v xml:space="preserve"> </v>
      </c>
      <c r="D19" s="1" t="str">
        <f>IF('Raw File'!R19&gt;0,'Raw File'!R19, " ")</f>
        <v xml:space="preserve"> </v>
      </c>
      <c r="E19" t="str">
        <f>IF('Raw File'!C19&gt;0, 296, " ")</f>
        <v xml:space="preserve"> </v>
      </c>
      <c r="F19" s="10" t="str">
        <f>IF('Raw File'!C19&gt;0, "5", " ")</f>
        <v xml:space="preserve"> </v>
      </c>
      <c r="G19" t="str">
        <f>IF('Raw File'!C19&gt;0, "X", " ")</f>
        <v xml:space="preserve"> </v>
      </c>
      <c r="H19" t="str">
        <f>IF('Raw File'!N19="H", "S", LEFT('Raw File'!N19, 1))</f>
        <v/>
      </c>
      <c r="J19" t="str">
        <f>IF('Raw File'!J19&gt;0,'Raw File'!J19," ")</f>
        <v xml:space="preserve"> </v>
      </c>
      <c r="L19" t="str">
        <f>IF('Raw File'!M19&gt;0,'Raw File'!M19," ")</f>
        <v xml:space="preserve"> </v>
      </c>
      <c r="M19" t="str">
        <f>IF('Raw File'!K19&gt;0,'Raw File'!K19," ")</f>
        <v xml:space="preserve"> </v>
      </c>
      <c r="N19" t="str">
        <f>IF('Raw File'!L19&gt;0,'Raw File'!L19," ")</f>
        <v xml:space="preserve"> </v>
      </c>
      <c r="U19" t="str">
        <f>IF('Raw File'!Q19&gt;0,'Raw File'!Q19," ")</f>
        <v xml:space="preserve"> </v>
      </c>
      <c r="Y19" t="str">
        <f>IF('Raw File'!C19&gt;0,'Raw File'!C19," ")</f>
        <v xml:space="preserve"> </v>
      </c>
      <c r="Z19" t="str">
        <f>IF('Raw File'!C19&gt;0, "A", " ")</f>
        <v xml:space="preserve"> </v>
      </c>
      <c r="AA19" t="str">
        <f>IF('Raw File'!C19&gt;0, "F", " ")</f>
        <v xml:space="preserve"> </v>
      </c>
      <c r="AB19" t="str">
        <f>IF('Raw File'!H19&gt;0,'Raw File'!H19," ")</f>
        <v xml:space="preserve"> </v>
      </c>
      <c r="AC19" s="11" t="str">
        <f>IF('Raw File'!C19&gt;0,IF(WhatColor('Raw File'!C19)&gt;10,8810,8018)," ")</f>
        <v xml:space="preserve"> </v>
      </c>
      <c r="AD19" s="1" t="str">
        <f>IF('Raw File'!C19&gt;0,'Raw File'!A19," ")</f>
        <v xml:space="preserve"> </v>
      </c>
      <c r="AE19" s="1" t="str">
        <f>IF('Raw File'!C19&gt;0,'Raw File'!A19," ")</f>
        <v xml:space="preserve"> </v>
      </c>
      <c r="AF19" s="1" t="str">
        <f>IF('Raw File'!C19&gt;0,'Raw File'!A19," ")</f>
        <v xml:space="preserve"> </v>
      </c>
      <c r="AG19" t="str">
        <f>IF('Raw File'!C19&gt;0,'Raw File'!C19, " ")</f>
        <v xml:space="preserve"> </v>
      </c>
      <c r="AQ19" t="str">
        <f>IF('Raw File'!G19&gt;0, IF('Raw File'!G19&lt;100, "H", "S"), " ")</f>
        <v xml:space="preserve"> </v>
      </c>
      <c r="AR19" t="str">
        <f>IF('Raw File'!G19&gt;0,'Raw File'!G19," ")</f>
        <v xml:space="preserve"> </v>
      </c>
      <c r="AT19" t="str">
        <f>IF('Raw File'!C19&gt;0,40," ")</f>
        <v xml:space="preserve"> </v>
      </c>
      <c r="AV19" t="str">
        <f>IF('Raw File'!N19= 0, " ", IF('Raw File'!N19="S", "SS", IF( 'Raw File'!N19= "M", "MJ", IF('Raw File'!N19= "H", "H"))))</f>
        <v xml:space="preserve"> </v>
      </c>
      <c r="AW19" s="12"/>
      <c r="AX19" t="str">
        <f>LEFT('Raw File'!P19,1)</f>
        <v/>
      </c>
      <c r="AY19" t="str">
        <f>LEFT('Raw File'!N19,1)</f>
        <v/>
      </c>
      <c r="AZ19">
        <f>IF('Raw File'!O19="exempt",99,IF('Raw File'!O19&gt;0,'Raw File'!O19/2000,IF('Raw File'!O19=0,'Raw File'!O19," ")))</f>
        <v>0</v>
      </c>
      <c r="BA19" t="str">
        <f>LEFT('Raw File'!P19,1)</f>
        <v/>
      </c>
      <c r="BJ19" t="str">
        <f>IF('Raw File'!C19&gt;0,"1"," ")</f>
        <v xml:space="preserve"> </v>
      </c>
      <c r="BX19" t="str">
        <f>IF('Raw File'!C19&gt;0,"WEEKLY"," ")</f>
        <v xml:space="preserve"> </v>
      </c>
      <c r="CA19" t="str">
        <f>IF('Raw File'!C19&gt;0, "N"," ")</f>
        <v xml:space="preserve"> </v>
      </c>
      <c r="CI19" t="str">
        <f>IF('Raw File'!C19&gt;0, "W", " ")</f>
        <v xml:space="preserve"> </v>
      </c>
      <c r="DN19" s="1" t="str">
        <f>IF('Raw File'!C19&gt;0,'Raw File'!A19," ")</f>
        <v xml:space="preserve"> </v>
      </c>
      <c r="GY19">
        <f>IF('Raw File'!O19=" "," ",IF('Raw File'!O19&gt;100,'Raw File'!O19,IF('Raw File'!O19="exempt","99999",IF('Raw File'!O19&lt;100, 'Raw File'!O19*2000, " "))))</f>
        <v>0</v>
      </c>
      <c r="HQ19" t="str">
        <f>IF('Raw File'!C19&gt;0,"1"," ")</f>
        <v xml:space="preserve"> </v>
      </c>
    </row>
    <row r="20" spans="1:225" x14ac:dyDescent="0.35">
      <c r="A20" t="str">
        <f>IF('Raw File'!E20&gt;0,'Raw File'!E20, " ")</f>
        <v xml:space="preserve"> </v>
      </c>
      <c r="B20" t="str">
        <f>IF('Raw File'!D20&gt;0,'Raw File'!D20," ")</f>
        <v xml:space="preserve"> </v>
      </c>
      <c r="C20" t="str">
        <f>IF('Raw File'!F20&gt;0,'Raw File'!F20, " ")</f>
        <v xml:space="preserve"> </v>
      </c>
      <c r="D20" s="1" t="str">
        <f>IF('Raw File'!R20&gt;0,'Raw File'!R20, " ")</f>
        <v xml:space="preserve"> </v>
      </c>
      <c r="E20" t="str">
        <f>IF('Raw File'!C20&gt;0, 296, " ")</f>
        <v xml:space="preserve"> </v>
      </c>
      <c r="F20" s="10" t="str">
        <f>IF('Raw File'!C20&gt;0, "5", " ")</f>
        <v xml:space="preserve"> </v>
      </c>
      <c r="G20" t="str">
        <f>IF('Raw File'!C20&gt;0, "X", " ")</f>
        <v xml:space="preserve"> </v>
      </c>
      <c r="H20" t="str">
        <f>IF('Raw File'!N20="H", "S", LEFT('Raw File'!N20, 1))</f>
        <v/>
      </c>
      <c r="J20" t="str">
        <f>IF('Raw File'!J20&gt;0,'Raw File'!J20," ")</f>
        <v xml:space="preserve"> </v>
      </c>
      <c r="L20" t="str">
        <f>IF('Raw File'!M20&gt;0,'Raw File'!M20," ")</f>
        <v xml:space="preserve"> </v>
      </c>
      <c r="M20" t="str">
        <f>IF('Raw File'!K20&gt;0,'Raw File'!K20," ")</f>
        <v xml:space="preserve"> </v>
      </c>
      <c r="N20" t="str">
        <f>IF('Raw File'!L20&gt;0,'Raw File'!L20," ")</f>
        <v xml:space="preserve"> </v>
      </c>
      <c r="U20" t="str">
        <f>IF('Raw File'!Q20&gt;0,'Raw File'!Q20," ")</f>
        <v xml:space="preserve"> </v>
      </c>
      <c r="Y20" t="str">
        <f>IF('Raw File'!C20&gt;0,'Raw File'!C20," ")</f>
        <v xml:space="preserve"> </v>
      </c>
      <c r="Z20" t="str">
        <f>IF('Raw File'!C20&gt;0, "A", " ")</f>
        <v xml:space="preserve"> </v>
      </c>
      <c r="AA20" t="str">
        <f>IF('Raw File'!C20&gt;0, "F", " ")</f>
        <v xml:space="preserve"> </v>
      </c>
      <c r="AB20" t="str">
        <f>IF('Raw File'!H20&gt;0,'Raw File'!H20," ")</f>
        <v xml:space="preserve"> </v>
      </c>
      <c r="AC20" s="11" t="str">
        <f>IF('Raw File'!C20&gt;0,IF(WhatColor('Raw File'!C20)&gt;10,8810,8018)," ")</f>
        <v xml:space="preserve"> </v>
      </c>
      <c r="AD20" s="1" t="str">
        <f>IF('Raw File'!C20&gt;0,'Raw File'!A20," ")</f>
        <v xml:space="preserve"> </v>
      </c>
      <c r="AE20" s="1" t="str">
        <f>IF('Raw File'!C20&gt;0,'Raw File'!A20," ")</f>
        <v xml:space="preserve"> </v>
      </c>
      <c r="AF20" s="1" t="str">
        <f>IF('Raw File'!C20&gt;0,'Raw File'!A20," ")</f>
        <v xml:space="preserve"> </v>
      </c>
      <c r="AG20" t="str">
        <f>IF('Raw File'!C20&gt;0,'Raw File'!C20, " ")</f>
        <v xml:space="preserve"> </v>
      </c>
      <c r="AQ20" t="str">
        <f>IF('Raw File'!G20&gt;0, IF('Raw File'!G20&lt;100, "H", "S"), " ")</f>
        <v xml:space="preserve"> </v>
      </c>
      <c r="AR20" t="str">
        <f>IF('Raw File'!G20&gt;0,'Raw File'!G20," ")</f>
        <v xml:space="preserve"> </v>
      </c>
      <c r="AT20" t="str">
        <f>IF('Raw File'!C20&gt;0,40," ")</f>
        <v xml:space="preserve"> </v>
      </c>
      <c r="AV20" t="str">
        <f>IF('Raw File'!N20= 0, " ", IF('Raw File'!N20="S", "SS", IF( 'Raw File'!N20= "M", "MJ", IF('Raw File'!N20= "H", "H"))))</f>
        <v xml:space="preserve"> </v>
      </c>
      <c r="AW20" s="12"/>
      <c r="AX20" t="str">
        <f>LEFT('Raw File'!P20,1)</f>
        <v/>
      </c>
      <c r="AY20" t="str">
        <f>LEFT('Raw File'!N20,1)</f>
        <v/>
      </c>
      <c r="AZ20">
        <f>IF('Raw File'!O20="exempt",99,IF('Raw File'!O20&gt;0,'Raw File'!O20/2000,IF('Raw File'!O20=0,'Raw File'!O20," ")))</f>
        <v>0</v>
      </c>
      <c r="BA20" t="str">
        <f>LEFT('Raw File'!P20,1)</f>
        <v/>
      </c>
      <c r="BJ20" t="str">
        <f>IF('Raw File'!C20&gt;0,"1"," ")</f>
        <v xml:space="preserve"> </v>
      </c>
      <c r="BX20" t="str">
        <f>IF('Raw File'!C20&gt;0,"WEEKLY"," ")</f>
        <v xml:space="preserve"> </v>
      </c>
      <c r="CA20" t="str">
        <f>IF('Raw File'!C20&gt;0, "N"," ")</f>
        <v xml:space="preserve"> </v>
      </c>
      <c r="CI20" t="str">
        <f>IF('Raw File'!C20&gt;0, "W", " ")</f>
        <v xml:space="preserve"> </v>
      </c>
      <c r="DN20" s="1" t="str">
        <f>IF('Raw File'!C20&gt;0,'Raw File'!A20," ")</f>
        <v xml:space="preserve"> </v>
      </c>
      <c r="GY20">
        <f>IF('Raw File'!O20=" "," ",IF('Raw File'!O20&gt;100,'Raw File'!O20,IF('Raw File'!O20="exempt","99999",IF('Raw File'!O20&lt;100, 'Raw File'!O20*2000, " "))))</f>
        <v>0</v>
      </c>
      <c r="HQ20" t="str">
        <f>IF('Raw File'!C20&gt;0,"1"," ")</f>
        <v xml:space="preserve"> </v>
      </c>
    </row>
    <row r="21" spans="1:225" x14ac:dyDescent="0.35">
      <c r="A21" t="str">
        <f>IF('Raw File'!E21&gt;0,'Raw File'!E21, " ")</f>
        <v xml:space="preserve"> </v>
      </c>
      <c r="B21" t="str">
        <f>IF('Raw File'!D21&gt;0,'Raw File'!D21," ")</f>
        <v xml:space="preserve"> </v>
      </c>
      <c r="C21" t="str">
        <f>IF('Raw File'!F21&gt;0,'Raw File'!F21, " ")</f>
        <v xml:space="preserve"> </v>
      </c>
      <c r="D21" s="1" t="str">
        <f>IF('Raw File'!R21&gt;0,'Raw File'!R21, " ")</f>
        <v xml:space="preserve"> </v>
      </c>
      <c r="E21" t="str">
        <f>IF('Raw File'!C21&gt;0, 296, " ")</f>
        <v xml:space="preserve"> </v>
      </c>
      <c r="F21" s="10" t="str">
        <f>IF('Raw File'!C21&gt;0, "5", " ")</f>
        <v xml:space="preserve"> </v>
      </c>
      <c r="G21" t="str">
        <f>IF('Raw File'!C21&gt;0, "X", " ")</f>
        <v xml:space="preserve"> </v>
      </c>
      <c r="H21" t="str">
        <f>IF('Raw File'!N21="H", "S", LEFT('Raw File'!N21, 1))</f>
        <v/>
      </c>
      <c r="J21" t="str">
        <f>IF('Raw File'!J21&gt;0,'Raw File'!J21," ")</f>
        <v xml:space="preserve"> </v>
      </c>
      <c r="L21" t="str">
        <f>IF('Raw File'!M21&gt;0,'Raw File'!M21," ")</f>
        <v xml:space="preserve"> </v>
      </c>
      <c r="M21" t="str">
        <f>IF('Raw File'!K21&gt;0,'Raw File'!K21," ")</f>
        <v xml:space="preserve"> </v>
      </c>
      <c r="N21" t="str">
        <f>IF('Raw File'!L21&gt;0,'Raw File'!L21," ")</f>
        <v xml:space="preserve"> </v>
      </c>
      <c r="U21" t="str">
        <f>IF('Raw File'!Q21&gt;0,'Raw File'!Q21," ")</f>
        <v xml:space="preserve"> </v>
      </c>
      <c r="Y21" t="str">
        <f>IF('Raw File'!C21&gt;0,'Raw File'!C21," ")</f>
        <v xml:space="preserve"> </v>
      </c>
      <c r="Z21" t="str">
        <f>IF('Raw File'!C21&gt;0, "A", " ")</f>
        <v xml:space="preserve"> </v>
      </c>
      <c r="AA21" t="str">
        <f>IF('Raw File'!C21&gt;0, "F", " ")</f>
        <v xml:space="preserve"> </v>
      </c>
      <c r="AB21" t="str">
        <f>IF('Raw File'!H21&gt;0,'Raw File'!H21," ")</f>
        <v xml:space="preserve"> </v>
      </c>
      <c r="AC21" s="11" t="str">
        <f>IF('Raw File'!C21&gt;0,IF(WhatColor('Raw File'!C21)&gt;10,8810,8018)," ")</f>
        <v xml:space="preserve"> </v>
      </c>
      <c r="AD21" s="1" t="str">
        <f>IF('Raw File'!C21&gt;0,'Raw File'!A21," ")</f>
        <v xml:space="preserve"> </v>
      </c>
      <c r="AE21" s="1" t="str">
        <f>IF('Raw File'!C21&gt;0,'Raw File'!A21," ")</f>
        <v xml:space="preserve"> </v>
      </c>
      <c r="AF21" s="1" t="str">
        <f>IF('Raw File'!C21&gt;0,'Raw File'!A21," ")</f>
        <v xml:space="preserve"> </v>
      </c>
      <c r="AG21" t="str">
        <f>IF('Raw File'!C21&gt;0,'Raw File'!C21, " ")</f>
        <v xml:space="preserve"> </v>
      </c>
      <c r="AQ21" t="str">
        <f>IF('Raw File'!G21&gt;0, IF('Raw File'!G21&lt;100, "H", "S"), " ")</f>
        <v xml:space="preserve"> </v>
      </c>
      <c r="AR21" t="str">
        <f>IF('Raw File'!G21&gt;0,'Raw File'!G21," ")</f>
        <v xml:space="preserve"> </v>
      </c>
      <c r="AT21" t="str">
        <f>IF('Raw File'!C21&gt;0,40," ")</f>
        <v xml:space="preserve"> </v>
      </c>
      <c r="AV21" t="str">
        <f>IF('Raw File'!N21= 0, " ", IF('Raw File'!N21="S", "SS", IF( 'Raw File'!N21= "M", "MJ", IF('Raw File'!N21= "H", "H"))))</f>
        <v xml:space="preserve"> </v>
      </c>
      <c r="AW21" s="12"/>
      <c r="AX21" t="str">
        <f>LEFT('Raw File'!P21,1)</f>
        <v/>
      </c>
      <c r="AY21" t="str">
        <f>LEFT('Raw File'!N21,1)</f>
        <v/>
      </c>
      <c r="AZ21">
        <f>IF('Raw File'!O21="exempt",99,IF('Raw File'!O21&gt;0,'Raw File'!O21/2000,IF('Raw File'!O21=0,'Raw File'!O21," ")))</f>
        <v>0</v>
      </c>
      <c r="BA21" t="str">
        <f>LEFT('Raw File'!P21,1)</f>
        <v/>
      </c>
      <c r="BJ21" t="str">
        <f>IF('Raw File'!C21&gt;0,"1"," ")</f>
        <v xml:space="preserve"> </v>
      </c>
      <c r="BX21" t="str">
        <f>IF('Raw File'!C21&gt;0,"WEEKLY"," ")</f>
        <v xml:space="preserve"> </v>
      </c>
      <c r="CA21" t="str">
        <f>IF('Raw File'!C21&gt;0, "N"," ")</f>
        <v xml:space="preserve"> </v>
      </c>
      <c r="CI21" t="str">
        <f>IF('Raw File'!C21&gt;0, "W", " ")</f>
        <v xml:space="preserve"> </v>
      </c>
      <c r="DN21" s="1" t="str">
        <f>IF('Raw File'!C21&gt;0,'Raw File'!A21," ")</f>
        <v xml:space="preserve"> </v>
      </c>
      <c r="GY21">
        <f>IF('Raw File'!O21=" "," ",IF('Raw File'!O21&gt;100,'Raw File'!O21,IF('Raw File'!O21="exempt","99999",IF('Raw File'!O21&lt;100, 'Raw File'!O21*2000, " "))))</f>
        <v>0</v>
      </c>
      <c r="HQ21" t="str">
        <f>IF('Raw File'!C21&gt;0,"1"," ")</f>
        <v xml:space="preserve"> </v>
      </c>
    </row>
    <row r="22" spans="1:225" x14ac:dyDescent="0.35">
      <c r="A22" t="str">
        <f>IF('Raw File'!E22&gt;0,'Raw File'!E22, " ")</f>
        <v xml:space="preserve"> </v>
      </c>
      <c r="B22" t="str">
        <f>IF('Raw File'!D22&gt;0,'Raw File'!D22," ")</f>
        <v xml:space="preserve"> </v>
      </c>
      <c r="C22" t="str">
        <f>IF('Raw File'!F22&gt;0,'Raw File'!F22, " ")</f>
        <v xml:space="preserve"> </v>
      </c>
      <c r="D22" s="1" t="str">
        <f>IF('Raw File'!R22&gt;0,'Raw File'!R22, " ")</f>
        <v xml:space="preserve"> </v>
      </c>
      <c r="E22" t="str">
        <f>IF('Raw File'!C22&gt;0, 296, " ")</f>
        <v xml:space="preserve"> </v>
      </c>
      <c r="F22" s="10" t="str">
        <f>IF('Raw File'!C22&gt;0, "5", " ")</f>
        <v xml:space="preserve"> </v>
      </c>
      <c r="G22" t="str">
        <f>IF('Raw File'!C22&gt;0, "X", " ")</f>
        <v xml:space="preserve"> </v>
      </c>
      <c r="H22" t="str">
        <f>IF('Raw File'!N22="H", "S", LEFT('Raw File'!N22, 1))</f>
        <v/>
      </c>
      <c r="J22" t="str">
        <f>IF('Raw File'!J22&gt;0,'Raw File'!J22," ")</f>
        <v xml:space="preserve"> </v>
      </c>
      <c r="L22" t="str">
        <f>IF('Raw File'!M22&gt;0,'Raw File'!M22," ")</f>
        <v xml:space="preserve"> </v>
      </c>
      <c r="M22" t="str">
        <f>IF('Raw File'!K22&gt;0,'Raw File'!K22," ")</f>
        <v xml:space="preserve"> </v>
      </c>
      <c r="N22" t="str">
        <f>IF('Raw File'!L22&gt;0,'Raw File'!L22," ")</f>
        <v xml:space="preserve"> </v>
      </c>
      <c r="U22" t="str">
        <f>IF('Raw File'!Q22&gt;0,'Raw File'!Q22," ")</f>
        <v xml:space="preserve"> </v>
      </c>
      <c r="Y22" t="str">
        <f>IF('Raw File'!C22&gt;0,'Raw File'!C22," ")</f>
        <v xml:space="preserve"> </v>
      </c>
      <c r="Z22" t="str">
        <f>IF('Raw File'!C22&gt;0, "A", " ")</f>
        <v xml:space="preserve"> </v>
      </c>
      <c r="AA22" t="str">
        <f>IF('Raw File'!C22&gt;0, "F", " ")</f>
        <v xml:space="preserve"> </v>
      </c>
      <c r="AB22" t="str">
        <f>IF('Raw File'!H22&gt;0,'Raw File'!H22," ")</f>
        <v xml:space="preserve"> </v>
      </c>
      <c r="AC22" s="11" t="str">
        <f>IF('Raw File'!C22&gt;0,IF(WhatColor('Raw File'!C22)&gt;10,8810,8018)," ")</f>
        <v xml:space="preserve"> </v>
      </c>
      <c r="AD22" s="1" t="str">
        <f>IF('Raw File'!C22&gt;0,'Raw File'!A22," ")</f>
        <v xml:space="preserve"> </v>
      </c>
      <c r="AE22" s="1" t="str">
        <f>IF('Raw File'!C22&gt;0,'Raw File'!A22," ")</f>
        <v xml:space="preserve"> </v>
      </c>
      <c r="AF22" s="1" t="str">
        <f>IF('Raw File'!C22&gt;0,'Raw File'!A22," ")</f>
        <v xml:space="preserve"> </v>
      </c>
      <c r="AG22" t="str">
        <f>IF('Raw File'!C22&gt;0,'Raw File'!C22, " ")</f>
        <v xml:space="preserve"> </v>
      </c>
      <c r="AQ22" t="str">
        <f>IF('Raw File'!G22&gt;0, IF('Raw File'!G22&lt;100, "H", "S"), " ")</f>
        <v xml:space="preserve"> </v>
      </c>
      <c r="AR22" t="str">
        <f>IF('Raw File'!G22&gt;0,'Raw File'!G22," ")</f>
        <v xml:space="preserve"> </v>
      </c>
      <c r="AT22" t="str">
        <f>IF('Raw File'!C22&gt;0,40," ")</f>
        <v xml:space="preserve"> </v>
      </c>
      <c r="AV22" t="str">
        <f>IF('Raw File'!N22= 0, " ", IF('Raw File'!N22="S", "SS", IF( 'Raw File'!N22= "M", "MJ", IF('Raw File'!N22= "H", "H"))))</f>
        <v xml:space="preserve"> </v>
      </c>
      <c r="AW22" s="12"/>
      <c r="AX22" t="str">
        <f>LEFT('Raw File'!P22,1)</f>
        <v/>
      </c>
      <c r="AY22" t="str">
        <f>LEFT('Raw File'!N22,1)</f>
        <v/>
      </c>
      <c r="AZ22">
        <f>IF('Raw File'!O22="exempt",99,IF('Raw File'!O22&gt;0,'Raw File'!O22/2000,IF('Raw File'!O22=0,'Raw File'!O22," ")))</f>
        <v>0</v>
      </c>
      <c r="BA22" t="str">
        <f>LEFT('Raw File'!P22,1)</f>
        <v/>
      </c>
      <c r="BJ22" t="str">
        <f>IF('Raw File'!C22&gt;0,"1"," ")</f>
        <v xml:space="preserve"> </v>
      </c>
      <c r="BX22" t="str">
        <f>IF('Raw File'!C22&gt;0,"WEEKLY"," ")</f>
        <v xml:space="preserve"> </v>
      </c>
      <c r="CA22" t="str">
        <f>IF('Raw File'!C22&gt;0, "N"," ")</f>
        <v xml:space="preserve"> </v>
      </c>
      <c r="CI22" t="str">
        <f>IF('Raw File'!C22&gt;0, "W", " ")</f>
        <v xml:space="preserve"> </v>
      </c>
      <c r="DN22" s="1" t="str">
        <f>IF('Raw File'!C22&gt;0,'Raw File'!A22," ")</f>
        <v xml:space="preserve"> </v>
      </c>
      <c r="GY22">
        <f>IF('Raw File'!O22=" "," ",IF('Raw File'!O22&gt;100,'Raw File'!O22,IF('Raw File'!O22="exempt","99999",IF('Raw File'!O22&lt;100, 'Raw File'!O22*2000, " "))))</f>
        <v>0</v>
      </c>
      <c r="HQ22" t="str">
        <f>IF('Raw File'!C22&gt;0,"1"," ")</f>
        <v xml:space="preserve"> </v>
      </c>
    </row>
    <row r="23" spans="1:225" x14ac:dyDescent="0.35">
      <c r="A23" t="str">
        <f>IF('Raw File'!E23&gt;0,'Raw File'!E23, " ")</f>
        <v xml:space="preserve"> </v>
      </c>
      <c r="B23" t="str">
        <f>IF('Raw File'!D23&gt;0,'Raw File'!D23," ")</f>
        <v xml:space="preserve"> </v>
      </c>
      <c r="C23" t="str">
        <f>IF('Raw File'!F23&gt;0,'Raw File'!F23, " ")</f>
        <v xml:space="preserve"> </v>
      </c>
      <c r="D23" s="1" t="str">
        <f>IF('Raw File'!R23&gt;0,'Raw File'!R23, " ")</f>
        <v xml:space="preserve"> </v>
      </c>
      <c r="E23" t="str">
        <f>IF('Raw File'!C23&gt;0, 296, " ")</f>
        <v xml:space="preserve"> </v>
      </c>
      <c r="F23" s="10" t="str">
        <f>IF('Raw File'!C23&gt;0, "5", " ")</f>
        <v xml:space="preserve"> </v>
      </c>
      <c r="G23" t="str">
        <f>IF('Raw File'!C23&gt;0, "X", " ")</f>
        <v xml:space="preserve"> </v>
      </c>
      <c r="H23" t="str">
        <f>IF('Raw File'!N23="H", "S", LEFT('Raw File'!N23, 1))</f>
        <v/>
      </c>
      <c r="J23" t="str">
        <f>IF('Raw File'!J23&gt;0,'Raw File'!J23," ")</f>
        <v xml:space="preserve"> </v>
      </c>
      <c r="L23" t="str">
        <f>IF('Raw File'!M23&gt;0,'Raw File'!M23," ")</f>
        <v xml:space="preserve"> </v>
      </c>
      <c r="M23" t="str">
        <f>IF('Raw File'!K23&gt;0,'Raw File'!K23," ")</f>
        <v xml:space="preserve"> </v>
      </c>
      <c r="N23" t="str">
        <f>IF('Raw File'!L23&gt;0,'Raw File'!L23," ")</f>
        <v xml:space="preserve"> </v>
      </c>
      <c r="U23" t="str">
        <f>IF('Raw File'!Q23&gt;0,'Raw File'!Q23," ")</f>
        <v xml:space="preserve"> </v>
      </c>
      <c r="Y23" t="str">
        <f>IF('Raw File'!C23&gt;0,'Raw File'!C23," ")</f>
        <v xml:space="preserve"> </v>
      </c>
      <c r="Z23" t="str">
        <f>IF('Raw File'!C23&gt;0, "A", " ")</f>
        <v xml:space="preserve"> </v>
      </c>
      <c r="AA23" t="str">
        <f>IF('Raw File'!C23&gt;0, "F", " ")</f>
        <v xml:space="preserve"> </v>
      </c>
      <c r="AB23" t="str">
        <f>IF('Raw File'!H23&gt;0,'Raw File'!H23," ")</f>
        <v xml:space="preserve"> </v>
      </c>
      <c r="AC23" s="11" t="str">
        <f>IF('Raw File'!C23&gt;0,IF(WhatColor('Raw File'!C23)&gt;10,8810,8018)," ")</f>
        <v xml:space="preserve"> </v>
      </c>
      <c r="AD23" s="1" t="str">
        <f>IF('Raw File'!C23&gt;0,'Raw File'!A23," ")</f>
        <v xml:space="preserve"> </v>
      </c>
      <c r="AE23" s="1" t="str">
        <f>IF('Raw File'!C23&gt;0,'Raw File'!A23," ")</f>
        <v xml:space="preserve"> </v>
      </c>
      <c r="AF23" s="1" t="str">
        <f>IF('Raw File'!C23&gt;0,'Raw File'!A23," ")</f>
        <v xml:space="preserve"> </v>
      </c>
      <c r="AG23" t="str">
        <f>IF('Raw File'!C23&gt;0,'Raw File'!C23, " ")</f>
        <v xml:space="preserve"> </v>
      </c>
      <c r="AQ23" t="str">
        <f>IF('Raw File'!G23&gt;0, IF('Raw File'!G23&lt;100, "H", "S"), " ")</f>
        <v xml:space="preserve"> </v>
      </c>
      <c r="AR23" t="str">
        <f>IF('Raw File'!G23&gt;0,'Raw File'!G23," ")</f>
        <v xml:space="preserve"> </v>
      </c>
      <c r="AT23" t="str">
        <f>IF('Raw File'!C23&gt;0,40," ")</f>
        <v xml:space="preserve"> </v>
      </c>
      <c r="AV23" t="str">
        <f>IF('Raw File'!N23= 0, " ", IF('Raw File'!N23="S", "SS", IF( 'Raw File'!N23= "M", "MJ", IF('Raw File'!N23= "H", "H"))))</f>
        <v xml:space="preserve"> </v>
      </c>
      <c r="AW23" s="12"/>
      <c r="AX23" t="str">
        <f>LEFT('Raw File'!P23,1)</f>
        <v/>
      </c>
      <c r="AY23" t="str">
        <f>LEFT('Raw File'!N23,1)</f>
        <v/>
      </c>
      <c r="AZ23">
        <f>IF('Raw File'!O23="exempt",99,IF('Raw File'!O23&gt;0,'Raw File'!O23/2000,IF('Raw File'!O23=0,'Raw File'!O23," ")))</f>
        <v>0</v>
      </c>
      <c r="BA23" t="str">
        <f>LEFT('Raw File'!P23,1)</f>
        <v/>
      </c>
      <c r="BJ23" t="str">
        <f>IF('Raw File'!C23&gt;0,"1"," ")</f>
        <v xml:space="preserve"> </v>
      </c>
      <c r="BX23" t="str">
        <f>IF('Raw File'!C23&gt;0,"WEEKLY"," ")</f>
        <v xml:space="preserve"> </v>
      </c>
      <c r="CA23" t="str">
        <f>IF('Raw File'!C23&gt;0, "N"," ")</f>
        <v xml:space="preserve"> </v>
      </c>
      <c r="CI23" t="str">
        <f>IF('Raw File'!C23&gt;0, "W", " ")</f>
        <v xml:space="preserve"> </v>
      </c>
      <c r="DN23" s="1" t="str">
        <f>IF('Raw File'!C23&gt;0,'Raw File'!A23," ")</f>
        <v xml:space="preserve"> </v>
      </c>
      <c r="GY23">
        <f>IF('Raw File'!O23=" "," ",IF('Raw File'!O23&gt;100,'Raw File'!O23,IF('Raw File'!O23="exempt","99999",IF('Raw File'!O23&lt;100, 'Raw File'!O23*2000, " "))))</f>
        <v>0</v>
      </c>
      <c r="HQ23" t="str">
        <f>IF('Raw File'!C23&gt;0,"1"," ")</f>
        <v xml:space="preserve"> </v>
      </c>
    </row>
    <row r="24" spans="1:225" x14ac:dyDescent="0.35">
      <c r="A24" t="str">
        <f>IF('Raw File'!E24&gt;0,'Raw File'!E24, " ")</f>
        <v xml:space="preserve"> </v>
      </c>
      <c r="B24" t="str">
        <f>IF('Raw File'!D24&gt;0,'Raw File'!D24," ")</f>
        <v xml:space="preserve"> </v>
      </c>
      <c r="C24" t="str">
        <f>IF('Raw File'!F24&gt;0,'Raw File'!F24, " ")</f>
        <v xml:space="preserve"> </v>
      </c>
      <c r="D24" s="1" t="str">
        <f>IF('Raw File'!R24&gt;0,'Raw File'!R24, " ")</f>
        <v xml:space="preserve"> </v>
      </c>
      <c r="E24" t="str">
        <f>IF('Raw File'!C24&gt;0, 296, " ")</f>
        <v xml:space="preserve"> </v>
      </c>
      <c r="F24" s="10" t="str">
        <f>IF('Raw File'!C24&gt;0, "5", " ")</f>
        <v xml:space="preserve"> </v>
      </c>
      <c r="G24" t="str">
        <f>IF('Raw File'!C24&gt;0, "X", " ")</f>
        <v xml:space="preserve"> </v>
      </c>
      <c r="H24" t="str">
        <f>IF('Raw File'!N24="H", "S", LEFT('Raw File'!N24, 1))</f>
        <v/>
      </c>
      <c r="J24" t="str">
        <f>IF('Raw File'!J24&gt;0,'Raw File'!J24," ")</f>
        <v xml:space="preserve"> </v>
      </c>
      <c r="L24" t="str">
        <f>IF('Raw File'!M24&gt;0,'Raw File'!M24," ")</f>
        <v xml:space="preserve"> </v>
      </c>
      <c r="M24" t="str">
        <f>IF('Raw File'!K24&gt;0,'Raw File'!K24," ")</f>
        <v xml:space="preserve"> </v>
      </c>
      <c r="N24" t="str">
        <f>IF('Raw File'!L24&gt;0,'Raw File'!L24," ")</f>
        <v xml:space="preserve"> </v>
      </c>
      <c r="U24" t="str">
        <f>IF('Raw File'!Q24&gt;0,'Raw File'!Q24," ")</f>
        <v xml:space="preserve"> </v>
      </c>
      <c r="Y24" t="str">
        <f>IF('Raw File'!C24&gt;0,'Raw File'!C24," ")</f>
        <v xml:space="preserve"> </v>
      </c>
      <c r="Z24" t="str">
        <f>IF('Raw File'!C24&gt;0, "A", " ")</f>
        <v xml:space="preserve"> </v>
      </c>
      <c r="AA24" t="str">
        <f>IF('Raw File'!C24&gt;0, "F", " ")</f>
        <v xml:space="preserve"> </v>
      </c>
      <c r="AB24" t="str">
        <f>IF('Raw File'!H24&gt;0,'Raw File'!H24," ")</f>
        <v xml:space="preserve"> </v>
      </c>
      <c r="AC24" s="11" t="str">
        <f>IF('Raw File'!C24&gt;0,IF(WhatColor('Raw File'!C24)&gt;10,8810,8018)," ")</f>
        <v xml:space="preserve"> </v>
      </c>
      <c r="AD24" s="1" t="str">
        <f>IF('Raw File'!C24&gt;0,'Raw File'!A24," ")</f>
        <v xml:space="preserve"> </v>
      </c>
      <c r="AE24" s="1" t="str">
        <f>IF('Raw File'!C24&gt;0,'Raw File'!A24," ")</f>
        <v xml:space="preserve"> </v>
      </c>
      <c r="AF24" s="1" t="str">
        <f>IF('Raw File'!C24&gt;0,'Raw File'!A24," ")</f>
        <v xml:space="preserve"> </v>
      </c>
      <c r="AG24" t="str">
        <f>IF('Raw File'!C24&gt;0,'Raw File'!C24, " ")</f>
        <v xml:space="preserve"> </v>
      </c>
      <c r="AQ24" t="str">
        <f>IF('Raw File'!G24&gt;0, IF('Raw File'!G24&lt;100, "H", "S"), " ")</f>
        <v xml:space="preserve"> </v>
      </c>
      <c r="AR24" t="str">
        <f>IF('Raw File'!G24&gt;0,'Raw File'!G24," ")</f>
        <v xml:space="preserve"> </v>
      </c>
      <c r="AT24" t="str">
        <f>IF('Raw File'!C24&gt;0,40," ")</f>
        <v xml:space="preserve"> </v>
      </c>
      <c r="AV24" t="str">
        <f>IF('Raw File'!N24= 0, " ", IF('Raw File'!N24="S", "SS", IF( 'Raw File'!N24= "M", "MJ", IF('Raw File'!N24= "H", "H"))))</f>
        <v xml:space="preserve"> </v>
      </c>
      <c r="AW24" s="12"/>
      <c r="AX24" t="str">
        <f>LEFT('Raw File'!P24,1)</f>
        <v/>
      </c>
      <c r="AY24" t="str">
        <f>LEFT('Raw File'!N24,1)</f>
        <v/>
      </c>
      <c r="AZ24">
        <f>IF('Raw File'!O24="exempt",99,IF('Raw File'!O24&gt;0,'Raw File'!O24/2000,IF('Raw File'!O24=0,'Raw File'!O24," ")))</f>
        <v>0</v>
      </c>
      <c r="BA24" t="str">
        <f>LEFT('Raw File'!P24,1)</f>
        <v/>
      </c>
      <c r="BJ24" t="str">
        <f>IF('Raw File'!C24&gt;0,"1"," ")</f>
        <v xml:space="preserve"> </v>
      </c>
      <c r="BX24" t="str">
        <f>IF('Raw File'!C24&gt;0,"WEEKLY"," ")</f>
        <v xml:space="preserve"> </v>
      </c>
      <c r="CA24" t="str">
        <f>IF('Raw File'!C24&gt;0, "N"," ")</f>
        <v xml:space="preserve"> </v>
      </c>
      <c r="CI24" t="str">
        <f>IF('Raw File'!C24&gt;0, "W", " ")</f>
        <v xml:space="preserve"> </v>
      </c>
      <c r="DN24" s="1" t="str">
        <f>IF('Raw File'!C24&gt;0,'Raw File'!A24," ")</f>
        <v xml:space="preserve"> </v>
      </c>
      <c r="GY24">
        <f>IF('Raw File'!O24=" "," ",IF('Raw File'!O24&gt;100,'Raw File'!O24,IF('Raw File'!O24="exempt","99999",IF('Raw File'!O24&lt;100, 'Raw File'!O24*2000, " "))))</f>
        <v>0</v>
      </c>
      <c r="HQ24" t="str">
        <f>IF('Raw File'!C24&gt;0,"1"," ")</f>
        <v xml:space="preserve"> </v>
      </c>
    </row>
    <row r="25" spans="1:225" x14ac:dyDescent="0.35">
      <c r="A25" t="str">
        <f>IF('Raw File'!E25&gt;0,'Raw File'!E25, " ")</f>
        <v xml:space="preserve"> </v>
      </c>
      <c r="B25" t="str">
        <f>IF('Raw File'!D25&gt;0,'Raw File'!D25," ")</f>
        <v xml:space="preserve"> </v>
      </c>
      <c r="C25" t="str">
        <f>IF('Raw File'!F25&gt;0,'Raw File'!F25, " ")</f>
        <v xml:space="preserve"> </v>
      </c>
      <c r="D25" s="1" t="str">
        <f>IF('Raw File'!R25&gt;0,'Raw File'!R25, " ")</f>
        <v xml:space="preserve"> </v>
      </c>
      <c r="E25" t="str">
        <f>IF('Raw File'!C25&gt;0, 296, " ")</f>
        <v xml:space="preserve"> </v>
      </c>
      <c r="F25" s="10" t="str">
        <f>IF('Raw File'!C25&gt;0, "5", " ")</f>
        <v xml:space="preserve"> </v>
      </c>
      <c r="G25" t="str">
        <f>IF('Raw File'!C25&gt;0, "X", " ")</f>
        <v xml:space="preserve"> </v>
      </c>
      <c r="H25" t="str">
        <f>IF('Raw File'!N25="H", "S", LEFT('Raw File'!N25, 1))</f>
        <v/>
      </c>
      <c r="J25" t="str">
        <f>IF('Raw File'!J25&gt;0,'Raw File'!J25," ")</f>
        <v xml:space="preserve"> </v>
      </c>
      <c r="L25" t="str">
        <f>IF('Raw File'!M25&gt;0,'Raw File'!M25," ")</f>
        <v xml:space="preserve"> </v>
      </c>
      <c r="M25" t="str">
        <f>IF('Raw File'!K25&gt;0,'Raw File'!K25," ")</f>
        <v xml:space="preserve"> </v>
      </c>
      <c r="N25" t="str">
        <f>IF('Raw File'!L25&gt;0,'Raw File'!L25," ")</f>
        <v xml:space="preserve"> </v>
      </c>
      <c r="U25" t="str">
        <f>IF('Raw File'!Q25&gt;0,'Raw File'!Q25," ")</f>
        <v xml:space="preserve"> </v>
      </c>
      <c r="Y25" t="str">
        <f>IF('Raw File'!C25&gt;0,'Raw File'!C25," ")</f>
        <v xml:space="preserve"> </v>
      </c>
      <c r="Z25" t="str">
        <f>IF('Raw File'!C25&gt;0, "A", " ")</f>
        <v xml:space="preserve"> </v>
      </c>
      <c r="AA25" t="str">
        <f>IF('Raw File'!C25&gt;0, "F", " ")</f>
        <v xml:space="preserve"> </v>
      </c>
      <c r="AB25" t="str">
        <f>IF('Raw File'!H25&gt;0,'Raw File'!H25," ")</f>
        <v xml:space="preserve"> </v>
      </c>
      <c r="AC25" s="11" t="str">
        <f>IF('Raw File'!C25&gt;0,IF(WhatColor('Raw File'!C25)&gt;10,8810,8018)," ")</f>
        <v xml:space="preserve"> </v>
      </c>
      <c r="AD25" s="1" t="str">
        <f>IF('Raw File'!C25&gt;0,'Raw File'!A25," ")</f>
        <v xml:space="preserve"> </v>
      </c>
      <c r="AE25" s="1" t="str">
        <f>IF('Raw File'!C25&gt;0,'Raw File'!A25," ")</f>
        <v xml:space="preserve"> </v>
      </c>
      <c r="AF25" s="1" t="str">
        <f>IF('Raw File'!C25&gt;0,'Raw File'!A25," ")</f>
        <v xml:space="preserve"> </v>
      </c>
      <c r="AG25" t="str">
        <f>IF('Raw File'!C25&gt;0,'Raw File'!C25, " ")</f>
        <v xml:space="preserve"> </v>
      </c>
      <c r="AQ25" t="str">
        <f>IF('Raw File'!G25&gt;0, IF('Raw File'!G25&lt;100, "H", "S"), " ")</f>
        <v xml:space="preserve"> </v>
      </c>
      <c r="AR25" t="str">
        <f>IF('Raw File'!G25&gt;0,'Raw File'!G25," ")</f>
        <v xml:space="preserve"> </v>
      </c>
      <c r="AT25" t="str">
        <f>IF('Raw File'!C25&gt;0,40," ")</f>
        <v xml:space="preserve"> </v>
      </c>
      <c r="AV25" t="str">
        <f>IF('Raw File'!N25= 0, " ", IF('Raw File'!N25="S", "SS", IF( 'Raw File'!N25= "M", "MJ", IF('Raw File'!N25= "H", "H"))))</f>
        <v xml:space="preserve"> </v>
      </c>
      <c r="AW25" s="12"/>
      <c r="AX25" t="str">
        <f>LEFT('Raw File'!P25,1)</f>
        <v/>
      </c>
      <c r="AY25" t="str">
        <f>LEFT('Raw File'!N25,1)</f>
        <v/>
      </c>
      <c r="AZ25">
        <f>IF('Raw File'!O25="exempt",99,IF('Raw File'!O25&gt;0,'Raw File'!O25/2000,IF('Raw File'!O25=0,'Raw File'!O25," ")))</f>
        <v>0</v>
      </c>
      <c r="BA25" t="str">
        <f>LEFT('Raw File'!P25,1)</f>
        <v/>
      </c>
      <c r="BJ25" t="str">
        <f>IF('Raw File'!C25&gt;0,"1"," ")</f>
        <v xml:space="preserve"> </v>
      </c>
      <c r="BX25" t="str">
        <f>IF('Raw File'!C25&gt;0,"WEEKLY"," ")</f>
        <v xml:space="preserve"> </v>
      </c>
      <c r="CA25" t="str">
        <f>IF('Raw File'!C25&gt;0, "N"," ")</f>
        <v xml:space="preserve"> </v>
      </c>
      <c r="CI25" t="str">
        <f>IF('Raw File'!C25&gt;0, "W", " ")</f>
        <v xml:space="preserve"> </v>
      </c>
      <c r="DN25" s="1" t="str">
        <f>IF('Raw File'!C25&gt;0,'Raw File'!A25," ")</f>
        <v xml:space="preserve"> </v>
      </c>
      <c r="GY25">
        <f>IF('Raw File'!O25=" "," ",IF('Raw File'!O25&gt;100,'Raw File'!O25,IF('Raw File'!O25="exempt","99999",IF('Raw File'!O25&lt;100, 'Raw File'!O25*2000, " "))))</f>
        <v>0</v>
      </c>
      <c r="HQ25" t="str">
        <f>IF('Raw File'!C25&gt;0,"1"," ")</f>
        <v xml:space="preserve"> </v>
      </c>
    </row>
    <row r="26" spans="1:225" x14ac:dyDescent="0.35">
      <c r="A26" t="str">
        <f>IF('Raw File'!E26&gt;0,'Raw File'!E26, " ")</f>
        <v xml:space="preserve"> </v>
      </c>
      <c r="B26" t="str">
        <f>IF('Raw File'!D26&gt;0,'Raw File'!D26," ")</f>
        <v xml:space="preserve"> </v>
      </c>
      <c r="C26" t="str">
        <f>IF('Raw File'!F26&gt;0,'Raw File'!F26, " ")</f>
        <v xml:space="preserve"> </v>
      </c>
      <c r="D26" s="1" t="str">
        <f>IF('Raw File'!R26&gt;0,'Raw File'!R26, " ")</f>
        <v xml:space="preserve"> </v>
      </c>
      <c r="E26" t="str">
        <f>IF('Raw File'!C26&gt;0, 296, " ")</f>
        <v xml:space="preserve"> </v>
      </c>
      <c r="F26" s="10" t="str">
        <f>IF('Raw File'!C26&gt;0, "5", " ")</f>
        <v xml:space="preserve"> </v>
      </c>
      <c r="G26" t="str">
        <f>IF('Raw File'!C26&gt;0, "X", " ")</f>
        <v xml:space="preserve"> </v>
      </c>
      <c r="H26" t="str">
        <f>IF('Raw File'!N26="H", "S", LEFT('Raw File'!N26, 1))</f>
        <v/>
      </c>
      <c r="J26" t="str">
        <f>IF('Raw File'!J26&gt;0,'Raw File'!J26," ")</f>
        <v xml:space="preserve"> </v>
      </c>
      <c r="L26" t="str">
        <f>IF('Raw File'!M26&gt;0,'Raw File'!M26," ")</f>
        <v xml:space="preserve"> </v>
      </c>
      <c r="M26" t="str">
        <f>IF('Raw File'!K26&gt;0,'Raw File'!K26," ")</f>
        <v xml:space="preserve"> </v>
      </c>
      <c r="N26" t="str">
        <f>IF('Raw File'!L26&gt;0,'Raw File'!L26," ")</f>
        <v xml:space="preserve"> </v>
      </c>
      <c r="U26" t="str">
        <f>IF('Raw File'!Q26&gt;0,'Raw File'!Q26," ")</f>
        <v xml:space="preserve"> </v>
      </c>
      <c r="Y26" t="str">
        <f>IF('Raw File'!C26&gt;0,'Raw File'!C26," ")</f>
        <v xml:space="preserve"> </v>
      </c>
      <c r="Z26" t="str">
        <f>IF('Raw File'!C26&gt;0, "A", " ")</f>
        <v xml:space="preserve"> </v>
      </c>
      <c r="AA26" t="str">
        <f>IF('Raw File'!C26&gt;0, "F", " ")</f>
        <v xml:space="preserve"> </v>
      </c>
      <c r="AB26" t="str">
        <f>IF('Raw File'!H26&gt;0,'Raw File'!H26," ")</f>
        <v xml:space="preserve"> </v>
      </c>
      <c r="AC26" s="11" t="str">
        <f>IF('Raw File'!C26&gt;0,IF(WhatColor('Raw File'!C26)&gt;10,8810,8018)," ")</f>
        <v xml:space="preserve"> </v>
      </c>
      <c r="AD26" s="1" t="str">
        <f>IF('Raw File'!C26&gt;0,'Raw File'!A26," ")</f>
        <v xml:space="preserve"> </v>
      </c>
      <c r="AE26" s="1" t="str">
        <f>IF('Raw File'!C26&gt;0,'Raw File'!A26," ")</f>
        <v xml:space="preserve"> </v>
      </c>
      <c r="AF26" s="1" t="str">
        <f>IF('Raw File'!C26&gt;0,'Raw File'!A26," ")</f>
        <v xml:space="preserve"> </v>
      </c>
      <c r="AG26" t="str">
        <f>IF('Raw File'!C26&gt;0,'Raw File'!C26, " ")</f>
        <v xml:space="preserve"> </v>
      </c>
      <c r="AQ26" t="str">
        <f>IF('Raw File'!G26&gt;0, IF('Raw File'!G26&lt;100, "H", "S"), " ")</f>
        <v xml:space="preserve"> </v>
      </c>
      <c r="AR26" t="str">
        <f>IF('Raw File'!G26&gt;0,'Raw File'!G26," ")</f>
        <v xml:space="preserve"> </v>
      </c>
      <c r="AT26" t="str">
        <f>IF('Raw File'!C26&gt;0,40," ")</f>
        <v xml:space="preserve"> </v>
      </c>
      <c r="AV26" t="str">
        <f>IF('Raw File'!N26= 0, " ", IF('Raw File'!N26="S", "SS", IF( 'Raw File'!N26= "M", "MJ", IF('Raw File'!N26= "H", "H"))))</f>
        <v xml:space="preserve"> </v>
      </c>
      <c r="AW26" s="12"/>
      <c r="AX26" t="str">
        <f>LEFT('Raw File'!P26,1)</f>
        <v/>
      </c>
      <c r="AY26" t="str">
        <f>LEFT('Raw File'!N26,1)</f>
        <v/>
      </c>
      <c r="AZ26">
        <f>IF('Raw File'!O26="exempt",99,IF('Raw File'!O26&gt;0,'Raw File'!O26/2000,IF('Raw File'!O26=0,'Raw File'!O26," ")))</f>
        <v>0</v>
      </c>
      <c r="BA26" t="str">
        <f>LEFT('Raw File'!P26,1)</f>
        <v/>
      </c>
      <c r="BJ26" t="str">
        <f>IF('Raw File'!C26&gt;0,"1"," ")</f>
        <v xml:space="preserve"> </v>
      </c>
      <c r="BX26" t="str">
        <f>IF('Raw File'!C26&gt;0,"WEEKLY"," ")</f>
        <v xml:space="preserve"> </v>
      </c>
      <c r="CA26" t="str">
        <f>IF('Raw File'!C26&gt;0, "N"," ")</f>
        <v xml:space="preserve"> </v>
      </c>
      <c r="CI26" t="str">
        <f>IF('Raw File'!C26&gt;0, "W", " ")</f>
        <v xml:space="preserve"> </v>
      </c>
      <c r="DN26" s="1" t="str">
        <f>IF('Raw File'!C26&gt;0,'Raw File'!A26," ")</f>
        <v xml:space="preserve"> </v>
      </c>
      <c r="GY26">
        <f>IF('Raw File'!O26=" "," ",IF('Raw File'!O26&gt;100,'Raw File'!O26,IF('Raw File'!O26="exempt","99999",IF('Raw File'!O26&lt;100, 'Raw File'!O26*2000, " "))))</f>
        <v>0</v>
      </c>
      <c r="HQ26" t="str">
        <f>IF('Raw File'!C26&gt;0,"1"," ")</f>
        <v xml:space="preserve"> </v>
      </c>
    </row>
    <row r="27" spans="1:225" x14ac:dyDescent="0.35">
      <c r="A27" t="str">
        <f>IF('Raw File'!E27&gt;0,'Raw File'!E27, " ")</f>
        <v xml:space="preserve"> </v>
      </c>
      <c r="B27" t="str">
        <f>IF('Raw File'!D27&gt;0,'Raw File'!D27," ")</f>
        <v xml:space="preserve"> </v>
      </c>
      <c r="C27" t="str">
        <f>IF('Raw File'!F27&gt;0,'Raw File'!F27, " ")</f>
        <v xml:space="preserve"> </v>
      </c>
      <c r="D27" s="1" t="str">
        <f>IF('Raw File'!R27&gt;0,'Raw File'!R27, " ")</f>
        <v xml:space="preserve"> </v>
      </c>
      <c r="E27" t="str">
        <f>IF('Raw File'!C27&gt;0, 296, " ")</f>
        <v xml:space="preserve"> </v>
      </c>
      <c r="F27" s="10" t="str">
        <f>IF('Raw File'!C27&gt;0, "5", " ")</f>
        <v xml:space="preserve"> </v>
      </c>
      <c r="G27" t="str">
        <f>IF('Raw File'!C27&gt;0, "X", " ")</f>
        <v xml:space="preserve"> </v>
      </c>
      <c r="H27" t="str">
        <f>IF('Raw File'!N27="H", "S", LEFT('Raw File'!N27, 1))</f>
        <v/>
      </c>
      <c r="J27" t="str">
        <f>IF('Raw File'!J27&gt;0,'Raw File'!J27," ")</f>
        <v xml:space="preserve"> </v>
      </c>
      <c r="L27" t="str">
        <f>IF('Raw File'!M27&gt;0,'Raw File'!M27," ")</f>
        <v xml:space="preserve"> </v>
      </c>
      <c r="M27" t="str">
        <f>IF('Raw File'!K27&gt;0,'Raw File'!K27," ")</f>
        <v xml:space="preserve"> </v>
      </c>
      <c r="N27" t="str">
        <f>IF('Raw File'!L27&gt;0,'Raw File'!L27," ")</f>
        <v xml:space="preserve"> </v>
      </c>
      <c r="U27" t="str">
        <f>IF('Raw File'!Q27&gt;0,'Raw File'!Q27," ")</f>
        <v xml:space="preserve"> </v>
      </c>
      <c r="Y27" t="str">
        <f>IF('Raw File'!C27&gt;0,'Raw File'!C27," ")</f>
        <v xml:space="preserve"> </v>
      </c>
      <c r="Z27" t="str">
        <f>IF('Raw File'!C27&gt;0, "A", " ")</f>
        <v xml:space="preserve"> </v>
      </c>
      <c r="AA27" t="str">
        <f>IF('Raw File'!C27&gt;0, "F", " ")</f>
        <v xml:space="preserve"> </v>
      </c>
      <c r="AB27" t="str">
        <f>IF('Raw File'!H27&gt;0,'Raw File'!H27," ")</f>
        <v xml:space="preserve"> </v>
      </c>
      <c r="AC27" s="11" t="str">
        <f>IF('Raw File'!C27&gt;0,IF(WhatColor('Raw File'!C27)&gt;10,8810,8018)," ")</f>
        <v xml:space="preserve"> </v>
      </c>
      <c r="AD27" s="1" t="str">
        <f>IF('Raw File'!C27&gt;0,'Raw File'!A27," ")</f>
        <v xml:space="preserve"> </v>
      </c>
      <c r="AE27" s="1" t="str">
        <f>IF('Raw File'!C27&gt;0,'Raw File'!A27," ")</f>
        <v xml:space="preserve"> </v>
      </c>
      <c r="AF27" s="1" t="str">
        <f>IF('Raw File'!C27&gt;0,'Raw File'!A27," ")</f>
        <v xml:space="preserve"> </v>
      </c>
      <c r="AG27" t="str">
        <f>IF('Raw File'!C27&gt;0,'Raw File'!C27, " ")</f>
        <v xml:space="preserve"> </v>
      </c>
      <c r="AQ27" t="str">
        <f>IF('Raw File'!G27&gt;0, IF('Raw File'!G27&lt;100, "H", "S"), " ")</f>
        <v xml:space="preserve"> </v>
      </c>
      <c r="AR27" t="str">
        <f>IF('Raw File'!G27&gt;0,'Raw File'!G27," ")</f>
        <v xml:space="preserve"> </v>
      </c>
      <c r="AT27" t="str">
        <f>IF('Raw File'!C27&gt;0,40," ")</f>
        <v xml:space="preserve"> </v>
      </c>
      <c r="AV27" t="str">
        <f>IF('Raw File'!N27= 0, " ", IF('Raw File'!N27="S", "SS", IF( 'Raw File'!N27= "M", "MJ", IF('Raw File'!N27= "H", "H"))))</f>
        <v xml:space="preserve"> </v>
      </c>
      <c r="AW27" s="12"/>
      <c r="AX27" t="str">
        <f>LEFT('Raw File'!P27,1)</f>
        <v/>
      </c>
      <c r="AY27" t="str">
        <f>LEFT('Raw File'!N27,1)</f>
        <v/>
      </c>
      <c r="AZ27">
        <f>IF('Raw File'!O27="exempt",99,IF('Raw File'!O27&gt;0,'Raw File'!O27/2000,IF('Raw File'!O27=0,'Raw File'!O27," ")))</f>
        <v>0</v>
      </c>
      <c r="BA27" t="str">
        <f>LEFT('Raw File'!P27,1)</f>
        <v/>
      </c>
      <c r="BJ27" t="str">
        <f>IF('Raw File'!C27&gt;0,"1"," ")</f>
        <v xml:space="preserve"> </v>
      </c>
      <c r="BX27" t="str">
        <f>IF('Raw File'!C27&gt;0,"WEEKLY"," ")</f>
        <v xml:space="preserve"> </v>
      </c>
      <c r="CA27" t="str">
        <f>IF('Raw File'!C27&gt;0, "N"," ")</f>
        <v xml:space="preserve"> </v>
      </c>
      <c r="CI27" t="str">
        <f>IF('Raw File'!C27&gt;0, "W", " ")</f>
        <v xml:space="preserve"> </v>
      </c>
      <c r="DN27" s="1" t="str">
        <f>IF('Raw File'!C27&gt;0,'Raw File'!A27," ")</f>
        <v xml:space="preserve"> </v>
      </c>
      <c r="GY27">
        <f>IF('Raw File'!O27=" "," ",IF('Raw File'!O27&gt;100,'Raw File'!O27,IF('Raw File'!O27="exempt","99999",IF('Raw File'!O27&lt;100, 'Raw File'!O27*2000, " "))))</f>
        <v>0</v>
      </c>
      <c r="HQ27" t="str">
        <f>IF('Raw File'!C27&gt;0,"1"," ")</f>
        <v xml:space="preserve"> </v>
      </c>
    </row>
    <row r="28" spans="1:225" x14ac:dyDescent="0.35">
      <c r="A28" t="str">
        <f>IF('Raw File'!E28&gt;0,'Raw File'!E28, " ")</f>
        <v xml:space="preserve"> </v>
      </c>
      <c r="B28" t="str">
        <f>IF('Raw File'!D28&gt;0,'Raw File'!D28," ")</f>
        <v xml:space="preserve"> </v>
      </c>
      <c r="C28" t="str">
        <f>IF('Raw File'!F28&gt;0,'Raw File'!F28, " ")</f>
        <v xml:space="preserve"> </v>
      </c>
      <c r="D28" s="1" t="str">
        <f>IF('Raw File'!R28&gt;0,'Raw File'!R28, " ")</f>
        <v xml:space="preserve"> </v>
      </c>
      <c r="E28" t="str">
        <f>IF('Raw File'!C28&gt;0, 296, " ")</f>
        <v xml:space="preserve"> </v>
      </c>
      <c r="F28" s="10" t="str">
        <f>IF('Raw File'!C28&gt;0, "5", " ")</f>
        <v xml:space="preserve"> </v>
      </c>
      <c r="G28" t="str">
        <f>IF('Raw File'!C28&gt;0, "X", " ")</f>
        <v xml:space="preserve"> </v>
      </c>
      <c r="H28" t="str">
        <f>IF('Raw File'!N28="H", "S", LEFT('Raw File'!N28, 1))</f>
        <v/>
      </c>
      <c r="J28" t="str">
        <f>IF('Raw File'!J28&gt;0,'Raw File'!J28," ")</f>
        <v xml:space="preserve"> </v>
      </c>
      <c r="L28" t="str">
        <f>IF('Raw File'!M28&gt;0,'Raw File'!M28," ")</f>
        <v xml:space="preserve"> </v>
      </c>
      <c r="M28" t="str">
        <f>IF('Raw File'!K28&gt;0,'Raw File'!K28," ")</f>
        <v xml:space="preserve"> </v>
      </c>
      <c r="N28" t="str">
        <f>IF('Raw File'!L28&gt;0,'Raw File'!L28," ")</f>
        <v xml:space="preserve"> </v>
      </c>
      <c r="U28" t="str">
        <f>IF('Raw File'!Q28&gt;0,'Raw File'!Q28," ")</f>
        <v xml:space="preserve"> </v>
      </c>
      <c r="Y28" t="str">
        <f>IF('Raw File'!C28&gt;0,'Raw File'!C28," ")</f>
        <v xml:space="preserve"> </v>
      </c>
      <c r="Z28" t="str">
        <f>IF('Raw File'!C28&gt;0, "A", " ")</f>
        <v xml:space="preserve"> </v>
      </c>
      <c r="AA28" t="str">
        <f>IF('Raw File'!C28&gt;0, "F", " ")</f>
        <v xml:space="preserve"> </v>
      </c>
      <c r="AB28" t="str">
        <f>IF('Raw File'!H28&gt;0,'Raw File'!H28," ")</f>
        <v xml:space="preserve"> </v>
      </c>
      <c r="AC28" s="11" t="str">
        <f>IF('Raw File'!C28&gt;0,IF(WhatColor('Raw File'!C28)&gt;10,8810,8018)," ")</f>
        <v xml:space="preserve"> </v>
      </c>
      <c r="AD28" s="1" t="str">
        <f>IF('Raw File'!C28&gt;0,'Raw File'!A28," ")</f>
        <v xml:space="preserve"> </v>
      </c>
      <c r="AE28" s="1" t="str">
        <f>IF('Raw File'!C28&gt;0,'Raw File'!A28," ")</f>
        <v xml:space="preserve"> </v>
      </c>
      <c r="AF28" s="1" t="str">
        <f>IF('Raw File'!C28&gt;0,'Raw File'!A28," ")</f>
        <v xml:space="preserve"> </v>
      </c>
      <c r="AG28" t="str">
        <f>IF('Raw File'!C28&gt;0,'Raw File'!C28, " ")</f>
        <v xml:space="preserve"> </v>
      </c>
      <c r="AQ28" t="str">
        <f>IF('Raw File'!G28&gt;0, IF('Raw File'!G28&lt;100, "H", "S"), " ")</f>
        <v xml:space="preserve"> </v>
      </c>
      <c r="AR28" t="str">
        <f>IF('Raw File'!G28&gt;0,'Raw File'!G28," ")</f>
        <v xml:space="preserve"> </v>
      </c>
      <c r="AT28" t="str">
        <f>IF('Raw File'!C28&gt;0,40," ")</f>
        <v xml:space="preserve"> </v>
      </c>
      <c r="AV28" t="str">
        <f>IF('Raw File'!N28= 0, " ", IF('Raw File'!N28="S", "SS", IF( 'Raw File'!N28= "M", "MJ", IF('Raw File'!N28= "H", "H"))))</f>
        <v xml:space="preserve"> </v>
      </c>
      <c r="AW28" s="12"/>
      <c r="AX28" t="str">
        <f>LEFT('Raw File'!P28,1)</f>
        <v/>
      </c>
      <c r="AY28" t="str">
        <f>LEFT('Raw File'!N28,1)</f>
        <v/>
      </c>
      <c r="AZ28">
        <f>IF('Raw File'!O28="exempt",99,IF('Raw File'!O28&gt;0,'Raw File'!O28/2000,IF('Raw File'!O28=0,'Raw File'!O28," ")))</f>
        <v>0</v>
      </c>
      <c r="BA28" t="str">
        <f>LEFT('Raw File'!P28,1)</f>
        <v/>
      </c>
      <c r="BJ28" t="str">
        <f>IF('Raw File'!C28&gt;0,"1"," ")</f>
        <v xml:space="preserve"> </v>
      </c>
      <c r="BX28" t="str">
        <f>IF('Raw File'!C28&gt;0,"WEEKLY"," ")</f>
        <v xml:space="preserve"> </v>
      </c>
      <c r="CA28" t="str">
        <f>IF('Raw File'!C28&gt;0, "N"," ")</f>
        <v xml:space="preserve"> </v>
      </c>
      <c r="CI28" t="str">
        <f>IF('Raw File'!C28&gt;0, "W", " ")</f>
        <v xml:space="preserve"> </v>
      </c>
      <c r="DN28" s="1" t="str">
        <f>IF('Raw File'!C28&gt;0,'Raw File'!A28," ")</f>
        <v xml:space="preserve"> </v>
      </c>
      <c r="GY28">
        <f>IF('Raw File'!O28=" "," ",IF('Raw File'!O28&gt;100,'Raw File'!O28,IF('Raw File'!O28="exempt","99999",IF('Raw File'!O28&lt;100, 'Raw File'!O28*2000, " "))))</f>
        <v>0</v>
      </c>
      <c r="HQ28" t="str">
        <f>IF('Raw File'!C28&gt;0,"1"," ")</f>
        <v xml:space="preserve"> </v>
      </c>
    </row>
    <row r="29" spans="1:225" x14ac:dyDescent="0.35">
      <c r="A29" t="str">
        <f>IF('Raw File'!E29&gt;0,'Raw File'!E29, " ")</f>
        <v xml:space="preserve"> </v>
      </c>
      <c r="B29" t="str">
        <f>IF('Raw File'!D29&gt;0,'Raw File'!D29," ")</f>
        <v xml:space="preserve"> </v>
      </c>
      <c r="C29" t="str">
        <f>IF('Raw File'!F29&gt;0,'Raw File'!F29, " ")</f>
        <v xml:space="preserve"> </v>
      </c>
      <c r="D29" s="1" t="str">
        <f>IF('Raw File'!R29&gt;0,'Raw File'!R29, " ")</f>
        <v xml:space="preserve"> </v>
      </c>
      <c r="E29" t="str">
        <f>IF('Raw File'!C29&gt;0, 296, " ")</f>
        <v xml:space="preserve"> </v>
      </c>
      <c r="F29" s="10" t="str">
        <f>IF('Raw File'!C29&gt;0, "5", " ")</f>
        <v xml:space="preserve"> </v>
      </c>
      <c r="G29" t="str">
        <f>IF('Raw File'!C29&gt;0, "X", " ")</f>
        <v xml:space="preserve"> </v>
      </c>
      <c r="H29" t="str">
        <f>IF('Raw File'!N29="H", "S", LEFT('Raw File'!N29, 1))</f>
        <v/>
      </c>
      <c r="J29" t="str">
        <f>IF('Raw File'!J29&gt;0,'Raw File'!J29," ")</f>
        <v xml:space="preserve"> </v>
      </c>
      <c r="L29" t="str">
        <f>IF('Raw File'!M29&gt;0,'Raw File'!M29," ")</f>
        <v xml:space="preserve"> </v>
      </c>
      <c r="M29" t="str">
        <f>IF('Raw File'!K29&gt;0,'Raw File'!K29," ")</f>
        <v xml:space="preserve"> </v>
      </c>
      <c r="N29" t="str">
        <f>IF('Raw File'!L29&gt;0,'Raw File'!L29," ")</f>
        <v xml:space="preserve"> </v>
      </c>
      <c r="U29" t="str">
        <f>IF('Raw File'!Q29&gt;0,'Raw File'!Q29," ")</f>
        <v xml:space="preserve"> </v>
      </c>
      <c r="Y29" t="str">
        <f>IF('Raw File'!C29&gt;0,'Raw File'!C29," ")</f>
        <v xml:space="preserve"> </v>
      </c>
      <c r="Z29" t="str">
        <f>IF('Raw File'!C29&gt;0, "A", " ")</f>
        <v xml:space="preserve"> </v>
      </c>
      <c r="AA29" t="str">
        <f>IF('Raw File'!C29&gt;0, "F", " ")</f>
        <v xml:space="preserve"> </v>
      </c>
      <c r="AB29" t="str">
        <f>IF('Raw File'!H29&gt;0,'Raw File'!H29," ")</f>
        <v xml:space="preserve"> </v>
      </c>
      <c r="AC29" s="11" t="str">
        <f>IF('Raw File'!C29&gt;0,IF(WhatColor('Raw File'!C29)&gt;10,8810,8018)," ")</f>
        <v xml:space="preserve"> </v>
      </c>
      <c r="AD29" s="1" t="str">
        <f>IF('Raw File'!C29&gt;0,'Raw File'!A29," ")</f>
        <v xml:space="preserve"> </v>
      </c>
      <c r="AE29" s="1" t="str">
        <f>IF('Raw File'!C29&gt;0,'Raw File'!A29," ")</f>
        <v xml:space="preserve"> </v>
      </c>
      <c r="AF29" s="1" t="str">
        <f>IF('Raw File'!C29&gt;0,'Raw File'!A29," ")</f>
        <v xml:space="preserve"> </v>
      </c>
      <c r="AG29" t="str">
        <f>IF('Raw File'!C29&gt;0,'Raw File'!C29, " ")</f>
        <v xml:space="preserve"> </v>
      </c>
      <c r="AQ29" t="str">
        <f>IF('Raw File'!G29&gt;0, IF('Raw File'!G29&lt;100, "H", "S"), " ")</f>
        <v xml:space="preserve"> </v>
      </c>
      <c r="AR29" t="str">
        <f>IF('Raw File'!G29&gt;0,'Raw File'!G29," ")</f>
        <v xml:space="preserve"> </v>
      </c>
      <c r="AT29" t="str">
        <f>IF('Raw File'!C29&gt;0,40," ")</f>
        <v xml:space="preserve"> </v>
      </c>
      <c r="AV29" t="str">
        <f>IF('Raw File'!N29= 0, " ", IF('Raw File'!N29="S", "SS", IF( 'Raw File'!N29= "M", "MJ", IF('Raw File'!N29= "H", "H"))))</f>
        <v xml:space="preserve"> </v>
      </c>
      <c r="AW29" s="12"/>
      <c r="AX29" t="str">
        <f>LEFT('Raw File'!P29,1)</f>
        <v/>
      </c>
      <c r="AY29" t="str">
        <f>LEFT('Raw File'!N29,1)</f>
        <v/>
      </c>
      <c r="AZ29">
        <f>IF('Raw File'!O29="exempt",99,IF('Raw File'!O29&gt;0,'Raw File'!O29/2000,IF('Raw File'!O29=0,'Raw File'!O29," ")))</f>
        <v>0</v>
      </c>
      <c r="BA29" t="str">
        <f>LEFT('Raw File'!P29,1)</f>
        <v/>
      </c>
      <c r="BJ29" t="str">
        <f>IF('Raw File'!C29&gt;0,"1"," ")</f>
        <v xml:space="preserve"> </v>
      </c>
      <c r="BX29" t="str">
        <f>IF('Raw File'!C29&gt;0,"WEEKLY"," ")</f>
        <v xml:space="preserve"> </v>
      </c>
      <c r="CA29" t="str">
        <f>IF('Raw File'!C29&gt;0, "N"," ")</f>
        <v xml:space="preserve"> </v>
      </c>
      <c r="CI29" t="str">
        <f>IF('Raw File'!C29&gt;0, "W", " ")</f>
        <v xml:space="preserve"> </v>
      </c>
      <c r="DN29" s="1" t="str">
        <f>IF('Raw File'!C29&gt;0,'Raw File'!A29," ")</f>
        <v xml:space="preserve"> </v>
      </c>
      <c r="GY29">
        <f>IF('Raw File'!O29=" "," ",IF('Raw File'!O29&gt;100,'Raw File'!O29,IF('Raw File'!O29="exempt","99999",IF('Raw File'!O29&lt;100, 'Raw File'!O29*2000, " "))))</f>
        <v>0</v>
      </c>
      <c r="HQ29" t="str">
        <f>IF('Raw File'!C29&gt;0,"1"," ")</f>
        <v xml:space="preserve"> </v>
      </c>
    </row>
    <row r="30" spans="1:225" x14ac:dyDescent="0.35">
      <c r="A30" t="str">
        <f>IF('Raw File'!E30&gt;0,'Raw File'!E30, " ")</f>
        <v xml:space="preserve"> </v>
      </c>
      <c r="B30" t="str">
        <f>IF('Raw File'!D30&gt;0,'Raw File'!D30," ")</f>
        <v xml:space="preserve"> </v>
      </c>
      <c r="C30" t="str">
        <f>IF('Raw File'!F30&gt;0,'Raw File'!F30, " ")</f>
        <v xml:space="preserve"> </v>
      </c>
      <c r="D30" s="1" t="str">
        <f>IF('Raw File'!R30&gt;0,'Raw File'!R30, " ")</f>
        <v xml:space="preserve"> </v>
      </c>
      <c r="E30" t="str">
        <f>IF('Raw File'!C30&gt;0, 296, " ")</f>
        <v xml:space="preserve"> </v>
      </c>
      <c r="F30" s="10" t="str">
        <f>IF('Raw File'!C30&gt;0, "5", " ")</f>
        <v xml:space="preserve"> </v>
      </c>
      <c r="G30" t="str">
        <f>IF('Raw File'!C30&gt;0, "X", " ")</f>
        <v xml:space="preserve"> </v>
      </c>
      <c r="H30" t="str">
        <f>IF('Raw File'!N30="H", "S", LEFT('Raw File'!N30, 1))</f>
        <v/>
      </c>
      <c r="J30" t="str">
        <f>IF('Raw File'!J30&gt;0,'Raw File'!J30," ")</f>
        <v xml:space="preserve"> </v>
      </c>
      <c r="L30" t="str">
        <f>IF('Raw File'!M30&gt;0,'Raw File'!M30," ")</f>
        <v xml:space="preserve"> </v>
      </c>
      <c r="M30" t="str">
        <f>IF('Raw File'!K30&gt;0,'Raw File'!K30," ")</f>
        <v xml:space="preserve"> </v>
      </c>
      <c r="N30" t="str">
        <f>IF('Raw File'!L30&gt;0,'Raw File'!L30," ")</f>
        <v xml:space="preserve"> </v>
      </c>
      <c r="U30" t="str">
        <f>IF('Raw File'!Q30&gt;0,'Raw File'!Q30," ")</f>
        <v xml:space="preserve"> </v>
      </c>
      <c r="Y30" t="str">
        <f>IF('Raw File'!C30&gt;0,'Raw File'!C30," ")</f>
        <v xml:space="preserve"> </v>
      </c>
      <c r="Z30" t="str">
        <f>IF('Raw File'!C30&gt;0, "A", " ")</f>
        <v xml:space="preserve"> </v>
      </c>
      <c r="AA30" t="str">
        <f>IF('Raw File'!C30&gt;0, "F", " ")</f>
        <v xml:space="preserve"> </v>
      </c>
      <c r="AB30" t="str">
        <f>IF('Raw File'!H30&gt;0,'Raw File'!H30," ")</f>
        <v xml:space="preserve"> </v>
      </c>
      <c r="AC30" s="11" t="str">
        <f>IF('Raw File'!C30&gt;0,IF(WhatColor('Raw File'!C30)&gt;10,8810,8018)," ")</f>
        <v xml:space="preserve"> </v>
      </c>
      <c r="AD30" s="1" t="str">
        <f>IF('Raw File'!C30&gt;0,'Raw File'!A30," ")</f>
        <v xml:space="preserve"> </v>
      </c>
      <c r="AE30" s="1" t="str">
        <f>IF('Raw File'!C30&gt;0,'Raw File'!A30," ")</f>
        <v xml:space="preserve"> </v>
      </c>
      <c r="AF30" s="1" t="str">
        <f>IF('Raw File'!C30&gt;0,'Raw File'!A30," ")</f>
        <v xml:space="preserve"> </v>
      </c>
      <c r="AG30" t="str">
        <f>IF('Raw File'!C30&gt;0,'Raw File'!C30, " ")</f>
        <v xml:space="preserve"> </v>
      </c>
      <c r="AQ30" t="str">
        <f>IF('Raw File'!G30&gt;0, IF('Raw File'!G30&lt;100, "H", "S"), " ")</f>
        <v xml:space="preserve"> </v>
      </c>
      <c r="AR30" t="str">
        <f>IF('Raw File'!G30&gt;0,'Raw File'!G30," ")</f>
        <v xml:space="preserve"> </v>
      </c>
      <c r="AT30" t="str">
        <f>IF('Raw File'!C30&gt;0,40," ")</f>
        <v xml:space="preserve"> </v>
      </c>
      <c r="AV30" t="str">
        <f>IF('Raw File'!N30= 0, " ", IF('Raw File'!N30="S", "SS", IF( 'Raw File'!N30= "M", "MJ", IF('Raw File'!N30= "H", "H"))))</f>
        <v xml:space="preserve"> </v>
      </c>
      <c r="AW30" s="12"/>
      <c r="AX30" t="str">
        <f>LEFT('Raw File'!P30,1)</f>
        <v/>
      </c>
      <c r="AY30" t="str">
        <f>LEFT('Raw File'!N30,1)</f>
        <v/>
      </c>
      <c r="AZ30">
        <f>IF('Raw File'!O30="exempt",99,IF('Raw File'!O30&gt;0,'Raw File'!O30/2000,IF('Raw File'!O30=0,'Raw File'!O30," ")))</f>
        <v>0</v>
      </c>
      <c r="BA30" t="str">
        <f>LEFT('Raw File'!P30,1)</f>
        <v/>
      </c>
      <c r="BJ30" t="str">
        <f>IF('Raw File'!C30&gt;0,"1"," ")</f>
        <v xml:space="preserve"> </v>
      </c>
      <c r="BX30" t="str">
        <f>IF('Raw File'!C30&gt;0,"WEEKLY"," ")</f>
        <v xml:space="preserve"> </v>
      </c>
      <c r="CA30" t="str">
        <f>IF('Raw File'!C30&gt;0, "N"," ")</f>
        <v xml:space="preserve"> </v>
      </c>
      <c r="CI30" t="str">
        <f>IF('Raw File'!C30&gt;0, "W", " ")</f>
        <v xml:space="preserve"> </v>
      </c>
      <c r="DN30" s="1" t="str">
        <f>IF('Raw File'!C30&gt;0,'Raw File'!A30," ")</f>
        <v xml:space="preserve"> </v>
      </c>
      <c r="GY30">
        <f>IF('Raw File'!O30=" "," ",IF('Raw File'!O30&gt;100,'Raw File'!O30,IF('Raw File'!O30="exempt","99999",IF('Raw File'!O30&lt;100, 'Raw File'!O30*2000, " "))))</f>
        <v>0</v>
      </c>
      <c r="HQ30" t="str">
        <f>IF('Raw File'!C30&gt;0,"1"," ")</f>
        <v xml:space="preserve"> </v>
      </c>
    </row>
    <row r="31" spans="1:225" x14ac:dyDescent="0.35">
      <c r="A31" t="str">
        <f>IF('Raw File'!E31&gt;0,'Raw File'!E31, " ")</f>
        <v xml:space="preserve"> </v>
      </c>
      <c r="B31" t="str">
        <f>IF('Raw File'!D31&gt;0,'Raw File'!D31," ")</f>
        <v xml:space="preserve"> </v>
      </c>
      <c r="C31" t="str">
        <f>IF('Raw File'!F31&gt;0,'Raw File'!F31, " ")</f>
        <v xml:space="preserve"> </v>
      </c>
      <c r="D31" s="1" t="str">
        <f>IF('Raw File'!R31&gt;0,'Raw File'!R31, " ")</f>
        <v xml:space="preserve"> </v>
      </c>
      <c r="E31" t="str">
        <f>IF('Raw File'!C31&gt;0, 296, " ")</f>
        <v xml:space="preserve"> </v>
      </c>
      <c r="F31" s="10" t="str">
        <f>IF('Raw File'!C31&gt;0, "5", " ")</f>
        <v xml:space="preserve"> </v>
      </c>
      <c r="G31" t="str">
        <f>IF('Raw File'!C31&gt;0, "X", " ")</f>
        <v xml:space="preserve"> </v>
      </c>
      <c r="H31" t="str">
        <f>IF('Raw File'!N31="H", "S", LEFT('Raw File'!N31, 1))</f>
        <v/>
      </c>
      <c r="J31" t="str">
        <f>IF('Raw File'!J31&gt;0,'Raw File'!J31," ")</f>
        <v xml:space="preserve"> </v>
      </c>
      <c r="L31" t="str">
        <f>IF('Raw File'!M31&gt;0,'Raw File'!M31," ")</f>
        <v xml:space="preserve"> </v>
      </c>
      <c r="M31" t="str">
        <f>IF('Raw File'!K31&gt;0,'Raw File'!K31," ")</f>
        <v xml:space="preserve"> </v>
      </c>
      <c r="N31" t="str">
        <f>IF('Raw File'!L31&gt;0,'Raw File'!L31," ")</f>
        <v xml:space="preserve"> </v>
      </c>
      <c r="U31" t="str">
        <f>IF('Raw File'!Q31&gt;0,'Raw File'!Q31," ")</f>
        <v xml:space="preserve"> </v>
      </c>
      <c r="Y31" t="str">
        <f>IF('Raw File'!C31&gt;0,'Raw File'!C31," ")</f>
        <v xml:space="preserve"> </v>
      </c>
      <c r="Z31" t="str">
        <f>IF('Raw File'!C31&gt;0, "A", " ")</f>
        <v xml:space="preserve"> </v>
      </c>
      <c r="AA31" t="str">
        <f>IF('Raw File'!C31&gt;0, "F", " ")</f>
        <v xml:space="preserve"> </v>
      </c>
      <c r="AB31" t="str">
        <f>IF('Raw File'!H31&gt;0,'Raw File'!H31," ")</f>
        <v xml:space="preserve"> </v>
      </c>
      <c r="AC31" s="11" t="str">
        <f>IF('Raw File'!C31&gt;0,IF(WhatColor('Raw File'!C31)&gt;10,8810,8018)," ")</f>
        <v xml:space="preserve"> </v>
      </c>
      <c r="AD31" s="1" t="str">
        <f>IF('Raw File'!C31&gt;0,'Raw File'!A31," ")</f>
        <v xml:space="preserve"> </v>
      </c>
      <c r="AE31" s="1" t="str">
        <f>IF('Raw File'!C31&gt;0,'Raw File'!A31," ")</f>
        <v xml:space="preserve"> </v>
      </c>
      <c r="AF31" s="1" t="str">
        <f>IF('Raw File'!C31&gt;0,'Raw File'!A31," ")</f>
        <v xml:space="preserve"> </v>
      </c>
      <c r="AG31" t="str">
        <f>IF('Raw File'!C31&gt;0,'Raw File'!C31, " ")</f>
        <v xml:space="preserve"> </v>
      </c>
      <c r="AQ31" t="str">
        <f>IF('Raw File'!G31&gt;0, IF('Raw File'!G31&lt;100, "H", "S"), " ")</f>
        <v xml:space="preserve"> </v>
      </c>
      <c r="AR31" t="str">
        <f>IF('Raw File'!G31&gt;0,'Raw File'!G31," ")</f>
        <v xml:space="preserve"> </v>
      </c>
      <c r="AT31" t="str">
        <f>IF('Raw File'!C31&gt;0,40," ")</f>
        <v xml:space="preserve"> </v>
      </c>
      <c r="AV31" t="str">
        <f>IF('Raw File'!N31= 0, " ", IF('Raw File'!N31="S", "SS", IF( 'Raw File'!N31= "M", "MJ", IF('Raw File'!N31= "H", "H"))))</f>
        <v xml:space="preserve"> </v>
      </c>
      <c r="AW31" s="12"/>
      <c r="AX31" t="str">
        <f>LEFT('Raw File'!P31,1)</f>
        <v/>
      </c>
      <c r="AY31" t="str">
        <f>LEFT('Raw File'!N31,1)</f>
        <v/>
      </c>
      <c r="AZ31">
        <f>IF('Raw File'!O31="exempt",99,IF('Raw File'!O31&gt;0,'Raw File'!O31/2000,IF('Raw File'!O31=0,'Raw File'!O31," ")))</f>
        <v>0</v>
      </c>
      <c r="BA31" t="str">
        <f>LEFT('Raw File'!P31,1)</f>
        <v/>
      </c>
      <c r="BJ31" t="str">
        <f>IF('Raw File'!C31&gt;0,"1"," ")</f>
        <v xml:space="preserve"> </v>
      </c>
      <c r="BX31" t="str">
        <f>IF('Raw File'!C31&gt;0,"WEEKLY"," ")</f>
        <v xml:space="preserve"> </v>
      </c>
      <c r="CA31" t="str">
        <f>IF('Raw File'!C31&gt;0, "N"," ")</f>
        <v xml:space="preserve"> </v>
      </c>
      <c r="CI31" t="str">
        <f>IF('Raw File'!C31&gt;0, "W", " ")</f>
        <v xml:space="preserve"> </v>
      </c>
      <c r="DN31" s="1" t="str">
        <f>IF('Raw File'!C31&gt;0,'Raw File'!A31," ")</f>
        <v xml:space="preserve"> </v>
      </c>
      <c r="GY31">
        <f>IF('Raw File'!O31=" "," ",IF('Raw File'!O31&gt;100,'Raw File'!O31,IF('Raw File'!O31="exempt","99999",IF('Raw File'!O31&lt;100, 'Raw File'!O31*2000, " "))))</f>
        <v>0</v>
      </c>
      <c r="HQ31" t="str">
        <f>IF('Raw File'!C31&gt;0,"1"," ")</f>
        <v xml:space="preserve"> </v>
      </c>
    </row>
    <row r="32" spans="1:225" x14ac:dyDescent="0.35">
      <c r="A32" t="str">
        <f>IF('Raw File'!E32&gt;0,'Raw File'!E32, " ")</f>
        <v xml:space="preserve"> </v>
      </c>
      <c r="B32" t="str">
        <f>IF('Raw File'!D32&gt;0,'Raw File'!D32," ")</f>
        <v xml:space="preserve"> </v>
      </c>
      <c r="C32" t="str">
        <f>IF('Raw File'!F32&gt;0,'Raw File'!F32, " ")</f>
        <v xml:space="preserve"> </v>
      </c>
      <c r="D32" s="1" t="str">
        <f>IF('Raw File'!R32&gt;0,'Raw File'!R32, " ")</f>
        <v xml:space="preserve"> </v>
      </c>
      <c r="E32" t="str">
        <f>IF('Raw File'!C32&gt;0, 296, " ")</f>
        <v xml:space="preserve"> </v>
      </c>
      <c r="F32" s="10" t="str">
        <f>IF('Raw File'!C32&gt;0, "5", " ")</f>
        <v xml:space="preserve"> </v>
      </c>
      <c r="G32" t="str">
        <f>IF('Raw File'!C32&gt;0, "X", " ")</f>
        <v xml:space="preserve"> </v>
      </c>
      <c r="H32" t="str">
        <f>IF('Raw File'!N32="H", "S", LEFT('Raw File'!N32, 1))</f>
        <v/>
      </c>
      <c r="J32" t="str">
        <f>IF('Raw File'!J32&gt;0,'Raw File'!J32," ")</f>
        <v xml:space="preserve"> </v>
      </c>
      <c r="L32" t="str">
        <f>IF('Raw File'!M32&gt;0,'Raw File'!M32," ")</f>
        <v xml:space="preserve"> </v>
      </c>
      <c r="M32" t="str">
        <f>IF('Raw File'!K32&gt;0,'Raw File'!K32," ")</f>
        <v xml:space="preserve"> </v>
      </c>
      <c r="N32" t="str">
        <f>IF('Raw File'!L32&gt;0,'Raw File'!L32," ")</f>
        <v xml:space="preserve"> </v>
      </c>
      <c r="U32" t="str">
        <f>IF('Raw File'!Q32&gt;0,'Raw File'!Q32," ")</f>
        <v xml:space="preserve"> </v>
      </c>
      <c r="Y32" t="str">
        <f>IF('Raw File'!C32&gt;0,'Raw File'!C32," ")</f>
        <v xml:space="preserve"> </v>
      </c>
      <c r="Z32" t="str">
        <f>IF('Raw File'!C32&gt;0, "A", " ")</f>
        <v xml:space="preserve"> </v>
      </c>
      <c r="AA32" t="str">
        <f>IF('Raw File'!C32&gt;0, "F", " ")</f>
        <v xml:space="preserve"> </v>
      </c>
      <c r="AB32" t="str">
        <f>IF('Raw File'!H32&gt;0,'Raw File'!H32," ")</f>
        <v xml:space="preserve"> </v>
      </c>
      <c r="AC32" s="11" t="str">
        <f>IF('Raw File'!C32&gt;0,IF(WhatColor('Raw File'!C32)&gt;10,8810,8018)," ")</f>
        <v xml:space="preserve"> </v>
      </c>
      <c r="AD32" s="1" t="str">
        <f>IF('Raw File'!C32&gt;0,'Raw File'!A32," ")</f>
        <v xml:space="preserve"> </v>
      </c>
      <c r="AE32" s="1" t="str">
        <f>IF('Raw File'!C32&gt;0,'Raw File'!A32," ")</f>
        <v xml:space="preserve"> </v>
      </c>
      <c r="AF32" s="1" t="str">
        <f>IF('Raw File'!C32&gt;0,'Raw File'!A32," ")</f>
        <v xml:space="preserve"> </v>
      </c>
      <c r="AG32" t="str">
        <f>IF('Raw File'!C32&gt;0,'Raw File'!C32, " ")</f>
        <v xml:space="preserve"> </v>
      </c>
      <c r="AQ32" t="str">
        <f>IF('Raw File'!G32&gt;0, IF('Raw File'!G32&lt;100, "H", "S"), " ")</f>
        <v xml:space="preserve"> </v>
      </c>
      <c r="AR32" t="str">
        <f>IF('Raw File'!G32&gt;0,'Raw File'!G32," ")</f>
        <v xml:space="preserve"> </v>
      </c>
      <c r="AT32" t="str">
        <f>IF('Raw File'!C32&gt;0,40," ")</f>
        <v xml:space="preserve"> </v>
      </c>
      <c r="AV32" t="str">
        <f>IF('Raw File'!N32= 0, " ", IF('Raw File'!N32="S", "SS", IF( 'Raw File'!N32= "M", "MJ", IF('Raw File'!N32= "H", "H"))))</f>
        <v xml:space="preserve"> </v>
      </c>
      <c r="AW32" s="12"/>
      <c r="AX32" t="str">
        <f>LEFT('Raw File'!P32,1)</f>
        <v/>
      </c>
      <c r="AY32" t="str">
        <f>LEFT('Raw File'!N32,1)</f>
        <v/>
      </c>
      <c r="AZ32">
        <f>IF('Raw File'!O32="exempt",99,IF('Raw File'!O32&gt;0,'Raw File'!O32/2000,IF('Raw File'!O32=0,'Raw File'!O32," ")))</f>
        <v>0</v>
      </c>
      <c r="BA32" t="str">
        <f>LEFT('Raw File'!P32,1)</f>
        <v/>
      </c>
      <c r="BJ32" t="str">
        <f>IF('Raw File'!C32&gt;0,"1"," ")</f>
        <v xml:space="preserve"> </v>
      </c>
      <c r="BX32" t="str">
        <f>IF('Raw File'!C32&gt;0,"WEEKLY"," ")</f>
        <v xml:space="preserve"> </v>
      </c>
      <c r="CA32" t="str">
        <f>IF('Raw File'!C32&gt;0, "N"," ")</f>
        <v xml:space="preserve"> </v>
      </c>
      <c r="CI32" t="str">
        <f>IF('Raw File'!C32&gt;0, "W", " ")</f>
        <v xml:space="preserve"> </v>
      </c>
      <c r="DN32" s="1" t="str">
        <f>IF('Raw File'!C32&gt;0,'Raw File'!A32," ")</f>
        <v xml:space="preserve"> </v>
      </c>
      <c r="GY32">
        <f>IF('Raw File'!O32=" "," ",IF('Raw File'!O32&gt;100,'Raw File'!O32,IF('Raw File'!O32="exempt","99999",IF('Raw File'!O32&lt;100, 'Raw File'!O32*2000, " "))))</f>
        <v>0</v>
      </c>
      <c r="HQ32" t="str">
        <f>IF('Raw File'!C32&gt;0,"1"," ")</f>
        <v xml:space="preserve"> </v>
      </c>
    </row>
    <row r="33" spans="1:225" x14ac:dyDescent="0.35">
      <c r="A33" t="str">
        <f>IF('Raw File'!E33&gt;0,'Raw File'!E33, " ")</f>
        <v xml:space="preserve"> </v>
      </c>
      <c r="B33" t="str">
        <f>IF('Raw File'!D33&gt;0,'Raw File'!D33," ")</f>
        <v xml:space="preserve"> </v>
      </c>
      <c r="C33" t="str">
        <f>IF('Raw File'!F33&gt;0,'Raw File'!F33, " ")</f>
        <v xml:space="preserve"> </v>
      </c>
      <c r="D33" s="1" t="str">
        <f>IF('Raw File'!R33&gt;0,'Raw File'!R33, " ")</f>
        <v xml:space="preserve"> </v>
      </c>
      <c r="E33" t="str">
        <f>IF('Raw File'!C33&gt;0, 296, " ")</f>
        <v xml:space="preserve"> </v>
      </c>
      <c r="F33" s="10" t="str">
        <f>IF('Raw File'!C33&gt;0, "5", " ")</f>
        <v xml:space="preserve"> </v>
      </c>
      <c r="G33" t="str">
        <f>IF('Raw File'!C33&gt;0, "X", " ")</f>
        <v xml:space="preserve"> </v>
      </c>
      <c r="H33" t="str">
        <f>IF('Raw File'!N33="H", "S", LEFT('Raw File'!N33, 1))</f>
        <v/>
      </c>
      <c r="J33" t="str">
        <f>IF('Raw File'!J33&gt;0,'Raw File'!J33," ")</f>
        <v xml:space="preserve"> </v>
      </c>
      <c r="L33" t="str">
        <f>IF('Raw File'!M33&gt;0,'Raw File'!M33," ")</f>
        <v xml:space="preserve"> </v>
      </c>
      <c r="M33" t="str">
        <f>IF('Raw File'!K33&gt;0,'Raw File'!K33," ")</f>
        <v xml:space="preserve"> </v>
      </c>
      <c r="N33" t="str">
        <f>IF('Raw File'!L33&gt;0,'Raw File'!L33," ")</f>
        <v xml:space="preserve"> </v>
      </c>
      <c r="U33" t="str">
        <f>IF('Raw File'!Q33&gt;0,'Raw File'!Q33," ")</f>
        <v xml:space="preserve"> </v>
      </c>
      <c r="Y33" t="str">
        <f>IF('Raw File'!C33&gt;0,'Raw File'!C33," ")</f>
        <v xml:space="preserve"> </v>
      </c>
      <c r="Z33" t="str">
        <f>IF('Raw File'!C33&gt;0, "A", " ")</f>
        <v xml:space="preserve"> </v>
      </c>
      <c r="AA33" t="str">
        <f>IF('Raw File'!C33&gt;0, "F", " ")</f>
        <v xml:space="preserve"> </v>
      </c>
      <c r="AB33" t="str">
        <f>IF('Raw File'!H33&gt;0,'Raw File'!H33," ")</f>
        <v xml:space="preserve"> </v>
      </c>
      <c r="AC33" s="11" t="str">
        <f>IF('Raw File'!C33&gt;0,IF(WhatColor('Raw File'!C33)&gt;10,8810,8018)," ")</f>
        <v xml:space="preserve"> </v>
      </c>
      <c r="AD33" s="1" t="str">
        <f>IF('Raw File'!C33&gt;0,'Raw File'!A33," ")</f>
        <v xml:space="preserve"> </v>
      </c>
      <c r="AE33" s="1" t="str">
        <f>IF('Raw File'!C33&gt;0,'Raw File'!A33," ")</f>
        <v xml:space="preserve"> </v>
      </c>
      <c r="AF33" s="1" t="str">
        <f>IF('Raw File'!C33&gt;0,'Raw File'!A33," ")</f>
        <v xml:space="preserve"> </v>
      </c>
      <c r="AG33" t="str">
        <f>IF('Raw File'!C33&gt;0,'Raw File'!C33, " ")</f>
        <v xml:space="preserve"> </v>
      </c>
      <c r="AQ33" t="str">
        <f>IF('Raw File'!G33&gt;0, IF('Raw File'!G33&lt;100, "H", "S"), " ")</f>
        <v xml:space="preserve"> </v>
      </c>
      <c r="AR33" t="str">
        <f>IF('Raw File'!G33&gt;0,'Raw File'!G33," ")</f>
        <v xml:space="preserve"> </v>
      </c>
      <c r="AT33" t="str">
        <f>IF('Raw File'!C33&gt;0,40," ")</f>
        <v xml:space="preserve"> </v>
      </c>
      <c r="AV33" t="str">
        <f>IF('Raw File'!N33= 0, " ", IF('Raw File'!N33="S", "SS", IF( 'Raw File'!N33= "M", "MJ", IF('Raw File'!N33= "H", "H"))))</f>
        <v xml:space="preserve"> </v>
      </c>
      <c r="AW33" s="12"/>
      <c r="AX33" t="str">
        <f>LEFT('Raw File'!P33,1)</f>
        <v/>
      </c>
      <c r="AY33" t="str">
        <f>LEFT('Raw File'!N33,1)</f>
        <v/>
      </c>
      <c r="AZ33">
        <f>IF('Raw File'!O33="exempt",99,IF('Raw File'!O33&gt;0,'Raw File'!O33/2000,IF('Raw File'!O33=0,'Raw File'!O33," ")))</f>
        <v>0</v>
      </c>
      <c r="BA33" t="str">
        <f>LEFT('Raw File'!P33,1)</f>
        <v/>
      </c>
      <c r="BJ33" t="str">
        <f>IF('Raw File'!C33&gt;0,"1"," ")</f>
        <v xml:space="preserve"> </v>
      </c>
      <c r="BX33" t="str">
        <f>IF('Raw File'!C33&gt;0,"WEEKLY"," ")</f>
        <v xml:space="preserve"> </v>
      </c>
      <c r="CA33" t="str">
        <f>IF('Raw File'!C33&gt;0, "N"," ")</f>
        <v xml:space="preserve"> </v>
      </c>
      <c r="CI33" t="str">
        <f>IF('Raw File'!C33&gt;0, "W", " ")</f>
        <v xml:space="preserve"> </v>
      </c>
      <c r="DN33" s="1" t="str">
        <f>IF('Raw File'!C33&gt;0,'Raw File'!A33," ")</f>
        <v xml:space="preserve"> </v>
      </c>
      <c r="GY33">
        <f>IF('Raw File'!O33=" "," ",IF('Raw File'!O33&gt;100,'Raw File'!O33,IF('Raw File'!O33="exempt","99999",IF('Raw File'!O33&lt;100, 'Raw File'!O33*2000, " "))))</f>
        <v>0</v>
      </c>
      <c r="HQ33" t="str">
        <f>IF('Raw File'!C33&gt;0,"1"," ")</f>
        <v xml:space="preserve"> </v>
      </c>
    </row>
    <row r="34" spans="1:225" x14ac:dyDescent="0.35">
      <c r="A34" t="str">
        <f>IF('Raw File'!E34&gt;0,'Raw File'!E34, " ")</f>
        <v xml:space="preserve"> </v>
      </c>
      <c r="B34" t="str">
        <f>IF('Raw File'!D34&gt;0,'Raw File'!D34," ")</f>
        <v xml:space="preserve"> </v>
      </c>
      <c r="C34" t="str">
        <f>IF('Raw File'!F34&gt;0,'Raw File'!F34, " ")</f>
        <v xml:space="preserve"> </v>
      </c>
      <c r="D34" s="1" t="str">
        <f>IF('Raw File'!R34&gt;0,'Raw File'!R34, " ")</f>
        <v xml:space="preserve"> </v>
      </c>
      <c r="E34" t="str">
        <f>IF('Raw File'!C34&gt;0, 296, " ")</f>
        <v xml:space="preserve"> </v>
      </c>
      <c r="F34" s="10" t="str">
        <f>IF('Raw File'!C34&gt;0, "5", " ")</f>
        <v xml:space="preserve"> </v>
      </c>
      <c r="G34" t="str">
        <f>IF('Raw File'!C34&gt;0, "X", " ")</f>
        <v xml:space="preserve"> </v>
      </c>
      <c r="H34" t="str">
        <f>IF('Raw File'!N34="H", "S", LEFT('Raw File'!N34, 1))</f>
        <v/>
      </c>
      <c r="J34" t="str">
        <f>IF('Raw File'!J34&gt;0,'Raw File'!J34," ")</f>
        <v xml:space="preserve"> </v>
      </c>
      <c r="L34" t="str">
        <f>IF('Raw File'!M34&gt;0,'Raw File'!M34," ")</f>
        <v xml:space="preserve"> </v>
      </c>
      <c r="M34" t="str">
        <f>IF('Raw File'!K34&gt;0,'Raw File'!K34," ")</f>
        <v xml:space="preserve"> </v>
      </c>
      <c r="N34" t="str">
        <f>IF('Raw File'!L34&gt;0,'Raw File'!L34," ")</f>
        <v xml:space="preserve"> </v>
      </c>
      <c r="U34" t="str">
        <f>IF('Raw File'!Q34&gt;0,'Raw File'!Q34," ")</f>
        <v xml:space="preserve"> </v>
      </c>
      <c r="Y34" t="str">
        <f>IF('Raw File'!C34&gt;0,'Raw File'!C34," ")</f>
        <v xml:space="preserve"> </v>
      </c>
      <c r="Z34" t="str">
        <f>IF('Raw File'!C34&gt;0, "A", " ")</f>
        <v xml:space="preserve"> </v>
      </c>
      <c r="AA34" t="str">
        <f>IF('Raw File'!C34&gt;0, "F", " ")</f>
        <v xml:space="preserve"> </v>
      </c>
      <c r="AB34" t="str">
        <f>IF('Raw File'!H34&gt;0,'Raw File'!H34," ")</f>
        <v xml:space="preserve"> </v>
      </c>
      <c r="AC34" s="11" t="str">
        <f>IF('Raw File'!C34&gt;0,IF(WhatColor('Raw File'!C34)&gt;10,8810,8018)," ")</f>
        <v xml:space="preserve"> </v>
      </c>
      <c r="AD34" s="1" t="str">
        <f>IF('Raw File'!C34&gt;0,'Raw File'!A34," ")</f>
        <v xml:space="preserve"> </v>
      </c>
      <c r="AE34" s="1" t="str">
        <f>IF('Raw File'!C34&gt;0,'Raw File'!A34," ")</f>
        <v xml:space="preserve"> </v>
      </c>
      <c r="AF34" s="1" t="str">
        <f>IF('Raw File'!C34&gt;0,'Raw File'!A34," ")</f>
        <v xml:space="preserve"> </v>
      </c>
      <c r="AG34" t="str">
        <f>IF('Raw File'!C34&gt;0,'Raw File'!C34, " ")</f>
        <v xml:space="preserve"> </v>
      </c>
      <c r="AQ34" t="str">
        <f>IF('Raw File'!G34&gt;0, IF('Raw File'!G34&lt;100, "H", "S"), " ")</f>
        <v xml:space="preserve"> </v>
      </c>
      <c r="AR34" t="str">
        <f>IF('Raw File'!G34&gt;0,'Raw File'!G34," ")</f>
        <v xml:space="preserve"> </v>
      </c>
      <c r="AT34" t="str">
        <f>IF('Raw File'!C34&gt;0,40," ")</f>
        <v xml:space="preserve"> </v>
      </c>
      <c r="AV34" t="str">
        <f>IF('Raw File'!N34= 0, " ", IF('Raw File'!N34="S", "SS", IF( 'Raw File'!N34= "M", "MJ", IF('Raw File'!N34= "H", "H"))))</f>
        <v xml:space="preserve"> </v>
      </c>
      <c r="AW34" s="12"/>
      <c r="AX34" t="str">
        <f>LEFT('Raw File'!P34,1)</f>
        <v/>
      </c>
      <c r="AY34" t="str">
        <f>LEFT('Raw File'!N34,1)</f>
        <v/>
      </c>
      <c r="AZ34">
        <f>IF('Raw File'!O34="exempt",99,IF('Raw File'!O34&gt;0,'Raw File'!O34/2000,IF('Raw File'!O34=0,'Raw File'!O34," ")))</f>
        <v>0</v>
      </c>
      <c r="BA34" t="str">
        <f>LEFT('Raw File'!P34,1)</f>
        <v/>
      </c>
      <c r="BJ34" t="str">
        <f>IF('Raw File'!C34&gt;0,"1"," ")</f>
        <v xml:space="preserve"> </v>
      </c>
      <c r="BX34" t="str">
        <f>IF('Raw File'!C34&gt;0,"WEEKLY"," ")</f>
        <v xml:space="preserve"> </v>
      </c>
      <c r="CA34" t="str">
        <f>IF('Raw File'!C34&gt;0, "N"," ")</f>
        <v xml:space="preserve"> </v>
      </c>
      <c r="CI34" t="str">
        <f>IF('Raw File'!C34&gt;0, "W", " ")</f>
        <v xml:space="preserve"> </v>
      </c>
      <c r="DN34" s="1" t="str">
        <f>IF('Raw File'!C34&gt;0,'Raw File'!A34," ")</f>
        <v xml:space="preserve"> </v>
      </c>
      <c r="GY34">
        <f>IF('Raw File'!O34=" "," ",IF('Raw File'!O34&gt;100,'Raw File'!O34,IF('Raw File'!O34="exempt","99999",IF('Raw File'!O34&lt;100, 'Raw File'!O34*2000, " "))))</f>
        <v>0</v>
      </c>
      <c r="HQ34" t="str">
        <f>IF('Raw File'!C34&gt;0,"1"," ")</f>
        <v xml:space="preserve"> </v>
      </c>
    </row>
    <row r="35" spans="1:225" x14ac:dyDescent="0.35">
      <c r="A35" t="str">
        <f>IF('Raw File'!E35&gt;0,'Raw File'!E35, " ")</f>
        <v xml:space="preserve"> </v>
      </c>
      <c r="B35" t="str">
        <f>IF('Raw File'!D35&gt;0,'Raw File'!D35," ")</f>
        <v xml:space="preserve"> </v>
      </c>
      <c r="C35" t="str">
        <f>IF('Raw File'!F35&gt;0,'Raw File'!F35, " ")</f>
        <v xml:space="preserve"> </v>
      </c>
      <c r="D35" s="1" t="str">
        <f>IF('Raw File'!R35&gt;0,'Raw File'!R35, " ")</f>
        <v xml:space="preserve"> </v>
      </c>
      <c r="E35" t="str">
        <f>IF('Raw File'!C35&gt;0, 296, " ")</f>
        <v xml:space="preserve"> </v>
      </c>
      <c r="F35" s="10" t="str">
        <f>IF('Raw File'!C35&gt;0, "5", " ")</f>
        <v xml:space="preserve"> </v>
      </c>
      <c r="G35" t="str">
        <f>IF('Raw File'!C35&gt;0, "X", " ")</f>
        <v xml:space="preserve"> </v>
      </c>
      <c r="H35" t="str">
        <f>IF('Raw File'!N35="H", "S", LEFT('Raw File'!N35, 1))</f>
        <v/>
      </c>
      <c r="J35" t="str">
        <f>IF('Raw File'!J35&gt;0,'Raw File'!J35," ")</f>
        <v xml:space="preserve"> </v>
      </c>
      <c r="L35" t="str">
        <f>IF('Raw File'!M35&gt;0,'Raw File'!M35," ")</f>
        <v xml:space="preserve"> </v>
      </c>
      <c r="M35" t="str">
        <f>IF('Raw File'!K35&gt;0,'Raw File'!K35," ")</f>
        <v xml:space="preserve"> </v>
      </c>
      <c r="N35" t="str">
        <f>IF('Raw File'!L35&gt;0,'Raw File'!L35," ")</f>
        <v xml:space="preserve"> </v>
      </c>
      <c r="U35" t="str">
        <f>IF('Raw File'!Q35&gt;0,'Raw File'!Q35," ")</f>
        <v xml:space="preserve"> </v>
      </c>
      <c r="Y35" t="str">
        <f>IF('Raw File'!C35&gt;0,'Raw File'!C35," ")</f>
        <v xml:space="preserve"> </v>
      </c>
      <c r="Z35" t="str">
        <f>IF('Raw File'!C35&gt;0, "A", " ")</f>
        <v xml:space="preserve"> </v>
      </c>
      <c r="AA35" t="str">
        <f>IF('Raw File'!C35&gt;0, "F", " ")</f>
        <v xml:space="preserve"> </v>
      </c>
      <c r="AB35" t="str">
        <f>IF('Raw File'!H35&gt;0,'Raw File'!H35," ")</f>
        <v xml:space="preserve"> </v>
      </c>
      <c r="AC35" s="11" t="str">
        <f>IF('Raw File'!C35&gt;0,IF(WhatColor('Raw File'!C35)&gt;10,8810,8018)," ")</f>
        <v xml:space="preserve"> </v>
      </c>
      <c r="AD35" s="1" t="str">
        <f>IF('Raw File'!C35&gt;0,'Raw File'!A35," ")</f>
        <v xml:space="preserve"> </v>
      </c>
      <c r="AE35" s="1" t="str">
        <f>IF('Raw File'!C35&gt;0,'Raw File'!A35," ")</f>
        <v xml:space="preserve"> </v>
      </c>
      <c r="AF35" s="1" t="str">
        <f>IF('Raw File'!C35&gt;0,'Raw File'!A35," ")</f>
        <v xml:space="preserve"> </v>
      </c>
      <c r="AG35" t="str">
        <f>IF('Raw File'!C35&gt;0,'Raw File'!C35, " ")</f>
        <v xml:space="preserve"> </v>
      </c>
      <c r="AQ35" t="str">
        <f>IF('Raw File'!G35&gt;0, IF('Raw File'!G35&lt;100, "H", "S"), " ")</f>
        <v xml:space="preserve"> </v>
      </c>
      <c r="AR35" t="str">
        <f>IF('Raw File'!G35&gt;0,'Raw File'!G35," ")</f>
        <v xml:space="preserve"> </v>
      </c>
      <c r="AT35" t="str">
        <f>IF('Raw File'!C35&gt;0,40," ")</f>
        <v xml:space="preserve"> </v>
      </c>
      <c r="AV35" t="str">
        <f>IF('Raw File'!N35= 0, " ", IF('Raw File'!N35="S", "SS", IF( 'Raw File'!N35= "M", "MJ", IF('Raw File'!N35= "H", "H"))))</f>
        <v xml:space="preserve"> </v>
      </c>
      <c r="AW35" s="12"/>
      <c r="AX35" t="str">
        <f>LEFT('Raw File'!P35,1)</f>
        <v/>
      </c>
      <c r="AY35" t="str">
        <f>LEFT('Raw File'!N35,1)</f>
        <v/>
      </c>
      <c r="AZ35">
        <f>IF('Raw File'!O35="exempt",99,IF('Raw File'!O35&gt;0,'Raw File'!O35/2000,IF('Raw File'!O35=0,'Raw File'!O35," ")))</f>
        <v>0</v>
      </c>
      <c r="BA35" t="str">
        <f>LEFT('Raw File'!P35,1)</f>
        <v/>
      </c>
      <c r="BJ35" t="str">
        <f>IF('Raw File'!C35&gt;0,"1"," ")</f>
        <v xml:space="preserve"> </v>
      </c>
      <c r="BX35" t="str">
        <f>IF('Raw File'!C35&gt;0,"WEEKLY"," ")</f>
        <v xml:space="preserve"> </v>
      </c>
      <c r="CA35" t="str">
        <f>IF('Raw File'!C35&gt;0, "N"," ")</f>
        <v xml:space="preserve"> </v>
      </c>
      <c r="CI35" t="str">
        <f>IF('Raw File'!C35&gt;0, "W", " ")</f>
        <v xml:space="preserve"> </v>
      </c>
      <c r="DN35" s="1" t="str">
        <f>IF('Raw File'!C35&gt;0,'Raw File'!A35," ")</f>
        <v xml:space="preserve"> </v>
      </c>
      <c r="GY35">
        <f>IF('Raw File'!O35=" "," ",IF('Raw File'!O35&gt;100,'Raw File'!O35,IF('Raw File'!O35="exempt","99999",IF('Raw File'!O35&lt;100, 'Raw File'!O35*2000, " "))))</f>
        <v>0</v>
      </c>
      <c r="HQ35" t="str">
        <f>IF('Raw File'!C35&gt;0,"1"," ")</f>
        <v xml:space="preserve"> </v>
      </c>
    </row>
    <row r="36" spans="1:225" x14ac:dyDescent="0.35">
      <c r="A36" t="str">
        <f>IF('Raw File'!E36&gt;0,'Raw File'!E36, " ")</f>
        <v xml:space="preserve"> </v>
      </c>
      <c r="B36" t="str">
        <f>IF('Raw File'!D36&gt;0,'Raw File'!D36," ")</f>
        <v xml:space="preserve"> </v>
      </c>
      <c r="C36" t="str">
        <f>IF('Raw File'!F36&gt;0,'Raw File'!F36, " ")</f>
        <v xml:space="preserve"> </v>
      </c>
      <c r="D36" s="1" t="str">
        <f>IF('Raw File'!R36&gt;0,'Raw File'!R36, " ")</f>
        <v xml:space="preserve"> </v>
      </c>
      <c r="E36" t="str">
        <f>IF('Raw File'!C36&gt;0, 296, " ")</f>
        <v xml:space="preserve"> </v>
      </c>
      <c r="F36" s="10" t="str">
        <f>IF('Raw File'!C36&gt;0, "5", " ")</f>
        <v xml:space="preserve"> </v>
      </c>
      <c r="G36" t="str">
        <f>IF('Raw File'!C36&gt;0, "X", " ")</f>
        <v xml:space="preserve"> </v>
      </c>
      <c r="H36" t="str">
        <f>IF('Raw File'!N36="H", "S", LEFT('Raw File'!N36, 1))</f>
        <v/>
      </c>
      <c r="J36" t="str">
        <f>IF('Raw File'!J36&gt;0,'Raw File'!J36," ")</f>
        <v xml:space="preserve"> </v>
      </c>
      <c r="L36" t="str">
        <f>IF('Raw File'!M36&gt;0,'Raw File'!M36," ")</f>
        <v xml:space="preserve"> </v>
      </c>
      <c r="M36" t="str">
        <f>IF('Raw File'!K36&gt;0,'Raw File'!K36," ")</f>
        <v xml:space="preserve"> </v>
      </c>
      <c r="N36" t="str">
        <f>IF('Raw File'!L36&gt;0,'Raw File'!L36," ")</f>
        <v xml:space="preserve"> </v>
      </c>
      <c r="U36" t="str">
        <f>IF('Raw File'!Q36&gt;0,'Raw File'!Q36," ")</f>
        <v xml:space="preserve"> </v>
      </c>
      <c r="Y36" t="str">
        <f>IF('Raw File'!C36&gt;0,'Raw File'!C36," ")</f>
        <v xml:space="preserve"> </v>
      </c>
      <c r="Z36" t="str">
        <f>IF('Raw File'!C36&gt;0, "A", " ")</f>
        <v xml:space="preserve"> </v>
      </c>
      <c r="AA36" t="str">
        <f>IF('Raw File'!C36&gt;0, "F", " ")</f>
        <v xml:space="preserve"> </v>
      </c>
      <c r="AB36" t="str">
        <f>IF('Raw File'!H36&gt;0,'Raw File'!H36," ")</f>
        <v xml:space="preserve"> </v>
      </c>
      <c r="AC36" s="11" t="str">
        <f>IF('Raw File'!C36&gt;0,IF(WhatColor('Raw File'!C36)&gt;10,8810,8018)," ")</f>
        <v xml:space="preserve"> </v>
      </c>
      <c r="AD36" s="1" t="str">
        <f>IF('Raw File'!C36&gt;0,'Raw File'!A36," ")</f>
        <v xml:space="preserve"> </v>
      </c>
      <c r="AE36" s="1" t="str">
        <f>IF('Raw File'!C36&gt;0,'Raw File'!A36," ")</f>
        <v xml:space="preserve"> </v>
      </c>
      <c r="AF36" s="1" t="str">
        <f>IF('Raw File'!C36&gt;0,'Raw File'!A36," ")</f>
        <v xml:space="preserve"> </v>
      </c>
      <c r="AG36" t="str">
        <f>IF('Raw File'!C36&gt;0,'Raw File'!C36, " ")</f>
        <v xml:space="preserve"> </v>
      </c>
      <c r="AQ36" t="str">
        <f>IF('Raw File'!G36&gt;0, IF('Raw File'!G36&lt;100, "H", "S"), " ")</f>
        <v xml:space="preserve"> </v>
      </c>
      <c r="AR36" t="str">
        <f>IF('Raw File'!G36&gt;0,'Raw File'!G36," ")</f>
        <v xml:space="preserve"> </v>
      </c>
      <c r="AT36" t="str">
        <f>IF('Raw File'!C36&gt;0,40," ")</f>
        <v xml:space="preserve"> </v>
      </c>
      <c r="AV36" t="str">
        <f>IF('Raw File'!N36= 0, " ", IF('Raw File'!N36="S", "SS", IF( 'Raw File'!N36= "M", "MJ", IF('Raw File'!N36= "H", "H"))))</f>
        <v xml:space="preserve"> </v>
      </c>
      <c r="AW36" s="12"/>
      <c r="AX36" t="str">
        <f>LEFT('Raw File'!P36,1)</f>
        <v/>
      </c>
      <c r="AY36" t="str">
        <f>LEFT('Raw File'!N36,1)</f>
        <v/>
      </c>
      <c r="AZ36">
        <f>IF('Raw File'!O36="exempt",99,IF('Raw File'!O36&gt;0,'Raw File'!O36/2000,IF('Raw File'!O36=0,'Raw File'!O36," ")))</f>
        <v>0</v>
      </c>
      <c r="BA36" t="str">
        <f>LEFT('Raw File'!P36,1)</f>
        <v/>
      </c>
      <c r="BJ36" t="str">
        <f>IF('Raw File'!C36&gt;0,"1"," ")</f>
        <v xml:space="preserve"> </v>
      </c>
      <c r="BX36" t="str">
        <f>IF('Raw File'!C36&gt;0,"WEEKLY"," ")</f>
        <v xml:space="preserve"> </v>
      </c>
      <c r="CA36" t="str">
        <f>IF('Raw File'!C36&gt;0, "N"," ")</f>
        <v xml:space="preserve"> </v>
      </c>
      <c r="CI36" t="str">
        <f>IF('Raw File'!C36&gt;0, "W", " ")</f>
        <v xml:space="preserve"> </v>
      </c>
      <c r="DN36" s="1" t="str">
        <f>IF('Raw File'!C36&gt;0,'Raw File'!A36," ")</f>
        <v xml:space="preserve"> </v>
      </c>
      <c r="GY36">
        <f>IF('Raw File'!O36=" "," ",IF('Raw File'!O36&gt;100,'Raw File'!O36,IF('Raw File'!O36="exempt","99999",IF('Raw File'!O36&lt;100, 'Raw File'!O36*2000, " "))))</f>
        <v>0</v>
      </c>
      <c r="HQ36" t="str">
        <f>IF('Raw File'!C36&gt;0,"1"," ")</f>
        <v xml:space="preserve"> </v>
      </c>
    </row>
    <row r="37" spans="1:225" x14ac:dyDescent="0.35">
      <c r="A37" t="str">
        <f>IF('Raw File'!E37&gt;0,'Raw File'!E37, " ")</f>
        <v xml:space="preserve"> </v>
      </c>
      <c r="B37" t="str">
        <f>IF('Raw File'!D37&gt;0,'Raw File'!D37," ")</f>
        <v xml:space="preserve"> </v>
      </c>
      <c r="C37" t="str">
        <f>IF('Raw File'!F37&gt;0,'Raw File'!F37, " ")</f>
        <v xml:space="preserve"> </v>
      </c>
      <c r="D37" s="1" t="str">
        <f>IF('Raw File'!R37&gt;0,'Raw File'!R37, " ")</f>
        <v xml:space="preserve"> </v>
      </c>
      <c r="E37" t="str">
        <f>IF('Raw File'!C37&gt;0, 296, " ")</f>
        <v xml:space="preserve"> </v>
      </c>
      <c r="F37" s="10" t="str">
        <f>IF('Raw File'!C37&gt;0, "5", " ")</f>
        <v xml:space="preserve"> </v>
      </c>
      <c r="G37" t="str">
        <f>IF('Raw File'!C37&gt;0, "X", " ")</f>
        <v xml:space="preserve"> </v>
      </c>
      <c r="H37" t="str">
        <f>IF('Raw File'!N37="H", "S", LEFT('Raw File'!N37, 1))</f>
        <v/>
      </c>
      <c r="J37" t="str">
        <f>IF('Raw File'!J37&gt;0,'Raw File'!J37," ")</f>
        <v xml:space="preserve"> </v>
      </c>
      <c r="L37" t="str">
        <f>IF('Raw File'!M37&gt;0,'Raw File'!M37," ")</f>
        <v xml:space="preserve"> </v>
      </c>
      <c r="M37" t="str">
        <f>IF('Raw File'!K37&gt;0,'Raw File'!K37," ")</f>
        <v xml:space="preserve"> </v>
      </c>
      <c r="N37" t="str">
        <f>IF('Raw File'!L37&gt;0,'Raw File'!L37," ")</f>
        <v xml:space="preserve"> </v>
      </c>
      <c r="U37" t="str">
        <f>IF('Raw File'!Q37&gt;0,'Raw File'!Q37," ")</f>
        <v xml:space="preserve"> </v>
      </c>
      <c r="Y37" t="str">
        <f>IF('Raw File'!C37&gt;0,'Raw File'!C37," ")</f>
        <v xml:space="preserve"> </v>
      </c>
      <c r="Z37" t="str">
        <f>IF('Raw File'!C37&gt;0, "A", " ")</f>
        <v xml:space="preserve"> </v>
      </c>
      <c r="AA37" t="str">
        <f>IF('Raw File'!C37&gt;0, "F", " ")</f>
        <v xml:space="preserve"> </v>
      </c>
      <c r="AB37" t="str">
        <f>IF('Raw File'!H37&gt;0,'Raw File'!H37," ")</f>
        <v xml:space="preserve"> </v>
      </c>
      <c r="AC37" s="11" t="str">
        <f>IF('Raw File'!C37&gt;0,IF(WhatColor('Raw File'!C37)&gt;10,8810,8018)," ")</f>
        <v xml:space="preserve"> </v>
      </c>
      <c r="AD37" s="1" t="str">
        <f>IF('Raw File'!C37&gt;0,'Raw File'!A37," ")</f>
        <v xml:space="preserve"> </v>
      </c>
      <c r="AE37" s="1" t="str">
        <f>IF('Raw File'!C37&gt;0,'Raw File'!A37," ")</f>
        <v xml:space="preserve"> </v>
      </c>
      <c r="AF37" s="1" t="str">
        <f>IF('Raw File'!C37&gt;0,'Raw File'!A37," ")</f>
        <v xml:space="preserve"> </v>
      </c>
      <c r="AG37" t="str">
        <f>IF('Raw File'!C37&gt;0,'Raw File'!C37, " ")</f>
        <v xml:space="preserve"> </v>
      </c>
      <c r="AQ37" t="str">
        <f>IF('Raw File'!G37&gt;0, IF('Raw File'!G37&lt;100, "H", "S"), " ")</f>
        <v xml:space="preserve"> </v>
      </c>
      <c r="AR37" t="str">
        <f>IF('Raw File'!G37&gt;0,'Raw File'!G37," ")</f>
        <v xml:space="preserve"> </v>
      </c>
      <c r="AT37" t="str">
        <f>IF('Raw File'!C37&gt;0,40," ")</f>
        <v xml:space="preserve"> </v>
      </c>
      <c r="AV37" t="str">
        <f>IF('Raw File'!N37= 0, " ", IF('Raw File'!N37="S", "SS", IF( 'Raw File'!N37= "M", "MJ", IF('Raw File'!N37= "H", "H"))))</f>
        <v xml:space="preserve"> </v>
      </c>
      <c r="AW37" s="12"/>
      <c r="AX37" t="str">
        <f>LEFT('Raw File'!P37,1)</f>
        <v/>
      </c>
      <c r="AY37" t="str">
        <f>LEFT('Raw File'!N37,1)</f>
        <v/>
      </c>
      <c r="AZ37">
        <f>IF('Raw File'!O37="exempt",99,IF('Raw File'!O37&gt;0,'Raw File'!O37/2000,IF('Raw File'!O37=0,'Raw File'!O37," ")))</f>
        <v>0</v>
      </c>
      <c r="BA37" t="str">
        <f>LEFT('Raw File'!P37,1)</f>
        <v/>
      </c>
      <c r="BJ37" t="str">
        <f>IF('Raw File'!C37&gt;0,"1"," ")</f>
        <v xml:space="preserve"> </v>
      </c>
      <c r="BX37" t="str">
        <f>IF('Raw File'!C37&gt;0,"WEEKLY"," ")</f>
        <v xml:space="preserve"> </v>
      </c>
      <c r="CA37" t="str">
        <f>IF('Raw File'!C37&gt;0, "N"," ")</f>
        <v xml:space="preserve"> </v>
      </c>
      <c r="CI37" t="str">
        <f>IF('Raw File'!C37&gt;0, "W", " ")</f>
        <v xml:space="preserve"> </v>
      </c>
      <c r="DN37" s="1" t="str">
        <f>IF('Raw File'!C37&gt;0,'Raw File'!A37," ")</f>
        <v xml:space="preserve"> </v>
      </c>
      <c r="GY37">
        <f>IF('Raw File'!O37=" "," ",IF('Raw File'!O37&gt;100,'Raw File'!O37,IF('Raw File'!O37="exempt","99999",IF('Raw File'!O37&lt;100, 'Raw File'!O37*2000, " "))))</f>
        <v>0</v>
      </c>
      <c r="HQ37" t="str">
        <f>IF('Raw File'!C37&gt;0,"1"," ")</f>
        <v xml:space="preserve"> </v>
      </c>
    </row>
    <row r="38" spans="1:225" x14ac:dyDescent="0.35">
      <c r="A38" t="str">
        <f>IF('Raw File'!E38&gt;0,'Raw File'!E38, " ")</f>
        <v xml:space="preserve"> </v>
      </c>
      <c r="B38" t="str">
        <f>IF('Raw File'!D38&gt;0,'Raw File'!D38," ")</f>
        <v xml:space="preserve"> </v>
      </c>
      <c r="C38" t="str">
        <f>IF('Raw File'!F38&gt;0,'Raw File'!F38, " ")</f>
        <v xml:space="preserve"> </v>
      </c>
      <c r="D38" s="1" t="str">
        <f>IF('Raw File'!R38&gt;0,'Raw File'!R38, " ")</f>
        <v xml:space="preserve"> </v>
      </c>
      <c r="E38" t="str">
        <f>IF('Raw File'!C38&gt;0, 296, " ")</f>
        <v xml:space="preserve"> </v>
      </c>
      <c r="F38" s="10" t="str">
        <f>IF('Raw File'!C38&gt;0, "5", " ")</f>
        <v xml:space="preserve"> </v>
      </c>
      <c r="G38" t="str">
        <f>IF('Raw File'!C38&gt;0, "X", " ")</f>
        <v xml:space="preserve"> </v>
      </c>
      <c r="H38" t="str">
        <f>IF('Raw File'!N38="H", "S", LEFT('Raw File'!N38, 1))</f>
        <v/>
      </c>
      <c r="J38" t="str">
        <f>IF('Raw File'!J38&gt;0,'Raw File'!J38," ")</f>
        <v xml:space="preserve"> </v>
      </c>
      <c r="L38" t="str">
        <f>IF('Raw File'!M38&gt;0,'Raw File'!M38," ")</f>
        <v xml:space="preserve"> </v>
      </c>
      <c r="M38" t="str">
        <f>IF('Raw File'!K38&gt;0,'Raw File'!K38," ")</f>
        <v xml:space="preserve"> </v>
      </c>
      <c r="N38" t="str">
        <f>IF('Raw File'!L38&gt;0,'Raw File'!L38," ")</f>
        <v xml:space="preserve"> </v>
      </c>
      <c r="U38" t="str">
        <f>IF('Raw File'!Q38&gt;0,'Raw File'!Q38," ")</f>
        <v xml:space="preserve"> </v>
      </c>
      <c r="Y38" t="str">
        <f>IF('Raw File'!C38&gt;0,'Raw File'!C38," ")</f>
        <v xml:space="preserve"> </v>
      </c>
      <c r="Z38" t="str">
        <f>IF('Raw File'!C38&gt;0, "A", " ")</f>
        <v xml:space="preserve"> </v>
      </c>
      <c r="AA38" t="str">
        <f>IF('Raw File'!C38&gt;0, "F", " ")</f>
        <v xml:space="preserve"> </v>
      </c>
      <c r="AB38" t="str">
        <f>IF('Raw File'!H38&gt;0,'Raw File'!H38," ")</f>
        <v xml:space="preserve"> </v>
      </c>
      <c r="AC38" s="11" t="str">
        <f>IF('Raw File'!C38&gt;0,IF(WhatColor('Raw File'!C38)&gt;10,8810,8018)," ")</f>
        <v xml:space="preserve"> </v>
      </c>
      <c r="AD38" s="1" t="str">
        <f>IF('Raw File'!C38&gt;0,'Raw File'!A38," ")</f>
        <v xml:space="preserve"> </v>
      </c>
      <c r="AE38" s="1" t="str">
        <f>IF('Raw File'!C38&gt;0,'Raw File'!A38," ")</f>
        <v xml:space="preserve"> </v>
      </c>
      <c r="AF38" s="1" t="str">
        <f>IF('Raw File'!C38&gt;0,'Raw File'!A38," ")</f>
        <v xml:space="preserve"> </v>
      </c>
      <c r="AG38" t="str">
        <f>IF('Raw File'!C38&gt;0,'Raw File'!C38, " ")</f>
        <v xml:space="preserve"> </v>
      </c>
      <c r="AQ38" t="str">
        <f>IF('Raw File'!G38&gt;0, IF('Raw File'!G38&lt;100, "H", "S"), " ")</f>
        <v xml:space="preserve"> </v>
      </c>
      <c r="AR38" t="str">
        <f>IF('Raw File'!G38&gt;0,'Raw File'!G38," ")</f>
        <v xml:space="preserve"> </v>
      </c>
      <c r="AT38" t="str">
        <f>IF('Raw File'!C38&gt;0,40," ")</f>
        <v xml:space="preserve"> </v>
      </c>
      <c r="AV38" t="str">
        <f>IF('Raw File'!N38= 0, " ", IF('Raw File'!N38="S", "SS", IF( 'Raw File'!N38= "M", "MJ", IF('Raw File'!N38= "H", "H"))))</f>
        <v xml:space="preserve"> </v>
      </c>
      <c r="AW38" s="12"/>
      <c r="AX38" t="str">
        <f>LEFT('Raw File'!P38,1)</f>
        <v/>
      </c>
      <c r="AY38" t="str">
        <f>LEFT('Raw File'!N38,1)</f>
        <v/>
      </c>
      <c r="AZ38">
        <f>IF('Raw File'!O38="exempt",99,IF('Raw File'!O38&gt;0,'Raw File'!O38/2000,IF('Raw File'!O38=0,'Raw File'!O38," ")))</f>
        <v>0</v>
      </c>
      <c r="BA38" t="str">
        <f>LEFT('Raw File'!P38,1)</f>
        <v/>
      </c>
      <c r="BJ38" t="str">
        <f>IF('Raw File'!C38&gt;0,"1"," ")</f>
        <v xml:space="preserve"> </v>
      </c>
      <c r="BX38" t="str">
        <f>IF('Raw File'!C38&gt;0,"WEEKLY"," ")</f>
        <v xml:space="preserve"> </v>
      </c>
      <c r="CA38" t="str">
        <f>IF('Raw File'!C38&gt;0, "N"," ")</f>
        <v xml:space="preserve"> </v>
      </c>
      <c r="CI38" t="str">
        <f>IF('Raw File'!C38&gt;0, "W", " ")</f>
        <v xml:space="preserve"> </v>
      </c>
      <c r="DN38" s="1" t="str">
        <f>IF('Raw File'!C38&gt;0,'Raw File'!A38," ")</f>
        <v xml:space="preserve"> </v>
      </c>
      <c r="GY38">
        <f>IF('Raw File'!O38=" "," ",IF('Raw File'!O38&gt;100,'Raw File'!O38,IF('Raw File'!O38="exempt","99999",IF('Raw File'!O38&lt;100, 'Raw File'!O38*2000, " "))))</f>
        <v>0</v>
      </c>
      <c r="HQ38" t="str">
        <f>IF('Raw File'!C38&gt;0,"1"," ")</f>
        <v xml:space="preserve"> </v>
      </c>
    </row>
    <row r="39" spans="1:225" x14ac:dyDescent="0.35">
      <c r="A39" t="str">
        <f>IF('Raw File'!E39&gt;0,'Raw File'!E39, " ")</f>
        <v xml:space="preserve"> </v>
      </c>
      <c r="B39" t="str">
        <f>IF('Raw File'!D39&gt;0,'Raw File'!D39," ")</f>
        <v xml:space="preserve"> </v>
      </c>
      <c r="C39" t="str">
        <f>IF('Raw File'!F39&gt;0,'Raw File'!F39, " ")</f>
        <v xml:space="preserve"> </v>
      </c>
      <c r="D39" s="1" t="str">
        <f>IF('Raw File'!R39&gt;0,'Raw File'!R39, " ")</f>
        <v xml:space="preserve"> </v>
      </c>
      <c r="E39" t="str">
        <f>IF('Raw File'!C39&gt;0, 296, " ")</f>
        <v xml:space="preserve"> </v>
      </c>
      <c r="F39" s="10" t="str">
        <f>IF('Raw File'!C39&gt;0, "5", " ")</f>
        <v xml:space="preserve"> </v>
      </c>
      <c r="G39" t="str">
        <f>IF('Raw File'!C39&gt;0, "X", " ")</f>
        <v xml:space="preserve"> </v>
      </c>
      <c r="H39" t="str">
        <f>IF('Raw File'!N39="H", "S", LEFT('Raw File'!N39, 1))</f>
        <v/>
      </c>
      <c r="J39" t="str">
        <f>IF('Raw File'!J39&gt;0,'Raw File'!J39," ")</f>
        <v xml:space="preserve"> </v>
      </c>
      <c r="L39" t="str">
        <f>IF('Raw File'!M39&gt;0,'Raw File'!M39," ")</f>
        <v xml:space="preserve"> </v>
      </c>
      <c r="M39" t="str">
        <f>IF('Raw File'!K39&gt;0,'Raw File'!K39," ")</f>
        <v xml:space="preserve"> </v>
      </c>
      <c r="N39" t="str">
        <f>IF('Raw File'!L39&gt;0,'Raw File'!L39," ")</f>
        <v xml:space="preserve"> </v>
      </c>
      <c r="U39" t="str">
        <f>IF('Raw File'!Q39&gt;0,'Raw File'!Q39," ")</f>
        <v xml:space="preserve"> </v>
      </c>
      <c r="Y39" t="str">
        <f>IF('Raw File'!C39&gt;0,'Raw File'!C39," ")</f>
        <v xml:space="preserve"> </v>
      </c>
      <c r="Z39" t="str">
        <f>IF('Raw File'!C39&gt;0, "A", " ")</f>
        <v xml:space="preserve"> </v>
      </c>
      <c r="AA39" t="str">
        <f>IF('Raw File'!C39&gt;0, "F", " ")</f>
        <v xml:space="preserve"> </v>
      </c>
      <c r="AB39" t="str">
        <f>IF('Raw File'!H39&gt;0,'Raw File'!H39," ")</f>
        <v xml:space="preserve"> </v>
      </c>
      <c r="AC39" s="11" t="str">
        <f>IF('Raw File'!C39&gt;0,IF(WhatColor('Raw File'!C39)&gt;10,8810,8018)," ")</f>
        <v xml:space="preserve"> </v>
      </c>
      <c r="AD39" s="1" t="str">
        <f>IF('Raw File'!C39&gt;0,'Raw File'!A39," ")</f>
        <v xml:space="preserve"> </v>
      </c>
      <c r="AE39" s="1" t="str">
        <f>IF('Raw File'!C39&gt;0,'Raw File'!A39," ")</f>
        <v xml:space="preserve"> </v>
      </c>
      <c r="AF39" s="1" t="str">
        <f>IF('Raw File'!C39&gt;0,'Raw File'!A39," ")</f>
        <v xml:space="preserve"> </v>
      </c>
      <c r="AG39" t="str">
        <f>IF('Raw File'!C39&gt;0,'Raw File'!C39, " ")</f>
        <v xml:space="preserve"> </v>
      </c>
      <c r="AQ39" t="str">
        <f>IF('Raw File'!G39&gt;0, IF('Raw File'!G39&lt;100, "H", "S"), " ")</f>
        <v xml:space="preserve"> </v>
      </c>
      <c r="AR39" t="str">
        <f>IF('Raw File'!G39&gt;0,'Raw File'!G39," ")</f>
        <v xml:space="preserve"> </v>
      </c>
      <c r="AT39" t="str">
        <f>IF('Raw File'!C39&gt;0,40," ")</f>
        <v xml:space="preserve"> </v>
      </c>
      <c r="AV39" t="str">
        <f>IF('Raw File'!N39= 0, " ", IF('Raw File'!N39="S", "SS", IF( 'Raw File'!N39= "M", "MJ", IF('Raw File'!N39= "H", "H"))))</f>
        <v xml:space="preserve"> </v>
      </c>
      <c r="AW39" s="12"/>
      <c r="AX39" t="str">
        <f>LEFT('Raw File'!P39,1)</f>
        <v/>
      </c>
      <c r="AY39" t="str">
        <f>LEFT('Raw File'!N39,1)</f>
        <v/>
      </c>
      <c r="AZ39">
        <f>IF('Raw File'!O39="exempt",99,IF('Raw File'!O39&gt;0,'Raw File'!O39/2000,IF('Raw File'!O39=0,'Raw File'!O39," ")))</f>
        <v>0</v>
      </c>
      <c r="BA39" t="str">
        <f>LEFT('Raw File'!P39,1)</f>
        <v/>
      </c>
      <c r="BJ39" t="str">
        <f>IF('Raw File'!C39&gt;0,"1"," ")</f>
        <v xml:space="preserve"> </v>
      </c>
      <c r="BX39" t="str">
        <f>IF('Raw File'!C39&gt;0,"WEEKLY"," ")</f>
        <v xml:space="preserve"> </v>
      </c>
      <c r="CA39" t="str">
        <f>IF('Raw File'!C39&gt;0, "N"," ")</f>
        <v xml:space="preserve"> </v>
      </c>
      <c r="CI39" t="str">
        <f>IF('Raw File'!C39&gt;0, "W", " ")</f>
        <v xml:space="preserve"> </v>
      </c>
      <c r="DN39" s="1" t="str">
        <f>IF('Raw File'!C39&gt;0,'Raw File'!A39," ")</f>
        <v xml:space="preserve"> </v>
      </c>
      <c r="GY39">
        <f>IF('Raw File'!O39=" "," ",IF('Raw File'!O39&gt;100,'Raw File'!O39,IF('Raw File'!O39="exempt","99999",IF('Raw File'!O39&lt;100, 'Raw File'!O39*2000, " "))))</f>
        <v>0</v>
      </c>
      <c r="HQ39" t="str">
        <f>IF('Raw File'!C39&gt;0,"1"," ")</f>
        <v xml:space="preserve"> </v>
      </c>
    </row>
    <row r="40" spans="1:225" x14ac:dyDescent="0.35">
      <c r="A40" t="str">
        <f>IF('Raw File'!E40&gt;0,'Raw File'!E40, " ")</f>
        <v xml:space="preserve"> </v>
      </c>
      <c r="B40" t="str">
        <f>IF('Raw File'!D40&gt;0,'Raw File'!D40," ")</f>
        <v xml:space="preserve"> </v>
      </c>
      <c r="C40" t="str">
        <f>IF('Raw File'!F40&gt;0,'Raw File'!F40, " ")</f>
        <v xml:space="preserve"> </v>
      </c>
      <c r="D40" s="1" t="str">
        <f>IF('Raw File'!R40&gt;0,'Raw File'!R40, " ")</f>
        <v xml:space="preserve"> </v>
      </c>
      <c r="E40" t="str">
        <f>IF('Raw File'!C40&gt;0, 296, " ")</f>
        <v xml:space="preserve"> </v>
      </c>
      <c r="F40" s="10" t="str">
        <f>IF('Raw File'!C40&gt;0, "5", " ")</f>
        <v xml:space="preserve"> </v>
      </c>
      <c r="G40" t="str">
        <f>IF('Raw File'!C40&gt;0, "X", " ")</f>
        <v xml:space="preserve"> </v>
      </c>
      <c r="H40" t="str">
        <f>IF('Raw File'!N40="H", "S", LEFT('Raw File'!N40, 1))</f>
        <v/>
      </c>
      <c r="J40" t="str">
        <f>IF('Raw File'!J40&gt;0,'Raw File'!J40," ")</f>
        <v xml:space="preserve"> </v>
      </c>
      <c r="L40" t="str">
        <f>IF('Raw File'!M40&gt;0,'Raw File'!M40," ")</f>
        <v xml:space="preserve"> </v>
      </c>
      <c r="M40" t="str">
        <f>IF('Raw File'!K40&gt;0,'Raw File'!K40," ")</f>
        <v xml:space="preserve"> </v>
      </c>
      <c r="N40" t="str">
        <f>IF('Raw File'!L40&gt;0,'Raw File'!L40," ")</f>
        <v xml:space="preserve"> </v>
      </c>
      <c r="U40" t="str">
        <f>IF('Raw File'!Q40&gt;0,'Raw File'!Q40," ")</f>
        <v xml:space="preserve"> </v>
      </c>
      <c r="Y40" t="str">
        <f>IF('Raw File'!C40&gt;0,'Raw File'!C40," ")</f>
        <v xml:space="preserve"> </v>
      </c>
      <c r="Z40" t="str">
        <f>IF('Raw File'!C40&gt;0, "A", " ")</f>
        <v xml:space="preserve"> </v>
      </c>
      <c r="AA40" t="str">
        <f>IF('Raw File'!C40&gt;0, "F", " ")</f>
        <v xml:space="preserve"> </v>
      </c>
      <c r="AB40" t="str">
        <f>IF('Raw File'!H40&gt;0,'Raw File'!H40," ")</f>
        <v xml:space="preserve"> </v>
      </c>
      <c r="AC40" s="11" t="str">
        <f>IF('Raw File'!C40&gt;0,IF(WhatColor('Raw File'!C40)&gt;10,8810,8018)," ")</f>
        <v xml:space="preserve"> </v>
      </c>
      <c r="AD40" s="1" t="str">
        <f>IF('Raw File'!C40&gt;0,'Raw File'!A40," ")</f>
        <v xml:space="preserve"> </v>
      </c>
      <c r="AE40" s="1" t="str">
        <f>IF('Raw File'!C40&gt;0,'Raw File'!A40," ")</f>
        <v xml:space="preserve"> </v>
      </c>
      <c r="AF40" s="1" t="str">
        <f>IF('Raw File'!C40&gt;0,'Raw File'!A40," ")</f>
        <v xml:space="preserve"> </v>
      </c>
      <c r="AG40" t="str">
        <f>IF('Raw File'!C40&gt;0,'Raw File'!C40, " ")</f>
        <v xml:space="preserve"> </v>
      </c>
      <c r="AQ40" t="str">
        <f>IF('Raw File'!G40&gt;0, IF('Raw File'!G40&lt;100, "H", "S"), " ")</f>
        <v xml:space="preserve"> </v>
      </c>
      <c r="AR40" t="str">
        <f>IF('Raw File'!G40&gt;0,'Raw File'!G40," ")</f>
        <v xml:space="preserve"> </v>
      </c>
      <c r="AT40" t="str">
        <f>IF('Raw File'!C40&gt;0,40," ")</f>
        <v xml:space="preserve"> </v>
      </c>
      <c r="AV40" t="str">
        <f>IF('Raw File'!N40= 0, " ", IF('Raw File'!N40="S", "SS", IF( 'Raw File'!N40= "M", "MJ", IF('Raw File'!N40= "H", "H"))))</f>
        <v xml:space="preserve"> </v>
      </c>
      <c r="AW40" s="12"/>
      <c r="AX40" t="str">
        <f>LEFT('Raw File'!P40,1)</f>
        <v/>
      </c>
      <c r="AY40" t="str">
        <f>LEFT('Raw File'!N40,1)</f>
        <v/>
      </c>
      <c r="AZ40">
        <f>IF('Raw File'!O40="exempt",99,IF('Raw File'!O40&gt;0,'Raw File'!O40/2000,IF('Raw File'!O40=0,'Raw File'!O40," ")))</f>
        <v>0</v>
      </c>
      <c r="BA40" t="str">
        <f>LEFT('Raw File'!P40,1)</f>
        <v/>
      </c>
      <c r="BJ40" t="str">
        <f>IF('Raw File'!C40&gt;0,"1"," ")</f>
        <v xml:space="preserve"> </v>
      </c>
      <c r="BX40" t="str">
        <f>IF('Raw File'!C40&gt;0,"WEEKLY"," ")</f>
        <v xml:space="preserve"> </v>
      </c>
      <c r="CA40" t="str">
        <f>IF('Raw File'!C40&gt;0, "N"," ")</f>
        <v xml:space="preserve"> </v>
      </c>
      <c r="CI40" t="str">
        <f>IF('Raw File'!C40&gt;0, "W", " ")</f>
        <v xml:space="preserve"> </v>
      </c>
      <c r="DN40" s="1" t="str">
        <f>IF('Raw File'!C40&gt;0,'Raw File'!A40," ")</f>
        <v xml:space="preserve"> </v>
      </c>
      <c r="GY40">
        <f>IF('Raw File'!O40=" "," ",IF('Raw File'!O40&gt;100,'Raw File'!O40,IF('Raw File'!O40="exempt","99999",IF('Raw File'!O40&lt;100, 'Raw File'!O40*2000, " "))))</f>
        <v>0</v>
      </c>
      <c r="HQ40" t="str">
        <f>IF('Raw File'!C40&gt;0,"1"," ")</f>
        <v xml:space="preserve"> </v>
      </c>
    </row>
    <row r="41" spans="1:225" x14ac:dyDescent="0.35">
      <c r="A41" t="str">
        <f>IF('Raw File'!E41&gt;0,'Raw File'!E41, " ")</f>
        <v xml:space="preserve"> </v>
      </c>
      <c r="B41" t="str">
        <f>IF('Raw File'!D41&gt;0,'Raw File'!D41," ")</f>
        <v xml:space="preserve"> </v>
      </c>
      <c r="C41" t="str">
        <f>IF('Raw File'!F41&gt;0,'Raw File'!F41, " ")</f>
        <v xml:space="preserve"> </v>
      </c>
      <c r="D41" s="1" t="str">
        <f>IF('Raw File'!R41&gt;0,'Raw File'!R41, " ")</f>
        <v xml:space="preserve"> </v>
      </c>
      <c r="E41" t="str">
        <f>IF('Raw File'!C41&gt;0, 296, " ")</f>
        <v xml:space="preserve"> </v>
      </c>
      <c r="F41" s="10" t="str">
        <f>IF('Raw File'!C41&gt;0, "5", " ")</f>
        <v xml:space="preserve"> </v>
      </c>
      <c r="G41" t="str">
        <f>IF('Raw File'!C41&gt;0, "X", " ")</f>
        <v xml:space="preserve"> </v>
      </c>
      <c r="H41" t="str">
        <f>IF('Raw File'!N41="H", "S", LEFT('Raw File'!N41, 1))</f>
        <v/>
      </c>
      <c r="J41" t="str">
        <f>IF('Raw File'!J41&gt;0,'Raw File'!J41," ")</f>
        <v xml:space="preserve"> </v>
      </c>
      <c r="L41" t="str">
        <f>IF('Raw File'!M41&gt;0,'Raw File'!M41," ")</f>
        <v xml:space="preserve"> </v>
      </c>
      <c r="M41" t="str">
        <f>IF('Raw File'!K41&gt;0,'Raw File'!K41," ")</f>
        <v xml:space="preserve"> </v>
      </c>
      <c r="N41" t="str">
        <f>IF('Raw File'!L41&gt;0,'Raw File'!L41," ")</f>
        <v xml:space="preserve"> </v>
      </c>
      <c r="U41" t="str">
        <f>IF('Raw File'!Q41&gt;0,'Raw File'!Q41," ")</f>
        <v xml:space="preserve"> </v>
      </c>
      <c r="Y41" t="str">
        <f>IF('Raw File'!C41&gt;0,'Raw File'!C41," ")</f>
        <v xml:space="preserve"> </v>
      </c>
      <c r="Z41" t="str">
        <f>IF('Raw File'!C41&gt;0, "A", " ")</f>
        <v xml:space="preserve"> </v>
      </c>
      <c r="AA41" t="str">
        <f>IF('Raw File'!C41&gt;0, "F", " ")</f>
        <v xml:space="preserve"> </v>
      </c>
      <c r="AB41" t="str">
        <f>IF('Raw File'!H41&gt;0,'Raw File'!H41," ")</f>
        <v xml:space="preserve"> </v>
      </c>
      <c r="AC41" s="11" t="str">
        <f>IF('Raw File'!C41&gt;0,IF(WhatColor('Raw File'!C41)&gt;10,8810,8018)," ")</f>
        <v xml:space="preserve"> </v>
      </c>
      <c r="AD41" s="1" t="str">
        <f>IF('Raw File'!C41&gt;0,'Raw File'!A41," ")</f>
        <v xml:space="preserve"> </v>
      </c>
      <c r="AE41" s="1" t="str">
        <f>IF('Raw File'!C41&gt;0,'Raw File'!A41," ")</f>
        <v xml:space="preserve"> </v>
      </c>
      <c r="AF41" s="1" t="str">
        <f>IF('Raw File'!C41&gt;0,'Raw File'!A41," ")</f>
        <v xml:space="preserve"> </v>
      </c>
      <c r="AG41" t="str">
        <f>IF('Raw File'!C41&gt;0,'Raw File'!C41, " ")</f>
        <v xml:space="preserve"> </v>
      </c>
      <c r="AQ41" t="str">
        <f>IF('Raw File'!G41&gt;0, IF('Raw File'!G41&lt;100, "H", "S"), " ")</f>
        <v xml:space="preserve"> </v>
      </c>
      <c r="AR41" t="str">
        <f>IF('Raw File'!G41&gt;0,'Raw File'!G41," ")</f>
        <v xml:space="preserve"> </v>
      </c>
      <c r="AT41" t="str">
        <f>IF('Raw File'!C41&gt;0,40," ")</f>
        <v xml:space="preserve"> </v>
      </c>
      <c r="AV41" t="str">
        <f>IF('Raw File'!N41= 0, " ", IF('Raw File'!N41="S", "SS", IF( 'Raw File'!N41= "M", "MJ", IF('Raw File'!N41= "H", "H"))))</f>
        <v xml:space="preserve"> </v>
      </c>
      <c r="AW41" s="12"/>
      <c r="AX41" t="str">
        <f>LEFT('Raw File'!P41,1)</f>
        <v/>
      </c>
      <c r="AY41" t="str">
        <f>LEFT('Raw File'!N41,1)</f>
        <v/>
      </c>
      <c r="AZ41">
        <f>IF('Raw File'!O41="exempt",99,IF('Raw File'!O41&gt;0,'Raw File'!O41/2000,IF('Raw File'!O41=0,'Raw File'!O41," ")))</f>
        <v>0</v>
      </c>
      <c r="BA41" t="str">
        <f>LEFT('Raw File'!P41,1)</f>
        <v/>
      </c>
      <c r="BJ41" t="str">
        <f>IF('Raw File'!C41&gt;0,"1"," ")</f>
        <v xml:space="preserve"> </v>
      </c>
      <c r="BX41" t="str">
        <f>IF('Raw File'!C41&gt;0,"WEEKLY"," ")</f>
        <v xml:space="preserve"> </v>
      </c>
      <c r="CA41" t="str">
        <f>IF('Raw File'!C41&gt;0, "N"," ")</f>
        <v xml:space="preserve"> </v>
      </c>
      <c r="CI41" t="str">
        <f>IF('Raw File'!C41&gt;0, "W", " ")</f>
        <v xml:space="preserve"> </v>
      </c>
      <c r="DN41" s="1" t="str">
        <f>IF('Raw File'!C41&gt;0,'Raw File'!A41," ")</f>
        <v xml:space="preserve"> </v>
      </c>
      <c r="GY41">
        <f>IF('Raw File'!O41=" "," ",IF('Raw File'!O41&gt;100,'Raw File'!O41,IF('Raw File'!O41="exempt","99999",IF('Raw File'!O41&lt;100, 'Raw File'!O41*2000, " "))))</f>
        <v>0</v>
      </c>
      <c r="HQ41" t="str">
        <f>IF('Raw File'!C41&gt;0,"1"," ")</f>
        <v xml:space="preserve"> </v>
      </c>
    </row>
    <row r="42" spans="1:225" x14ac:dyDescent="0.35">
      <c r="A42" t="str">
        <f>IF('Raw File'!E42&gt;0,'Raw File'!E42, " ")</f>
        <v xml:space="preserve"> </v>
      </c>
      <c r="B42" t="str">
        <f>IF('Raw File'!D42&gt;0,'Raw File'!D42," ")</f>
        <v xml:space="preserve"> </v>
      </c>
      <c r="C42" t="str">
        <f>IF('Raw File'!F42&gt;0,'Raw File'!F42, " ")</f>
        <v xml:space="preserve"> </v>
      </c>
      <c r="D42" s="1" t="str">
        <f>IF('Raw File'!R42&gt;0,'Raw File'!R42, " ")</f>
        <v xml:space="preserve"> </v>
      </c>
      <c r="E42" t="str">
        <f>IF('Raw File'!C42&gt;0, 296, " ")</f>
        <v xml:space="preserve"> </v>
      </c>
      <c r="F42" s="10" t="str">
        <f>IF('Raw File'!C42&gt;0, "5", " ")</f>
        <v xml:space="preserve"> </v>
      </c>
      <c r="G42" t="str">
        <f>IF('Raw File'!C42&gt;0, "X", " ")</f>
        <v xml:space="preserve"> </v>
      </c>
      <c r="H42" t="str">
        <f>IF('Raw File'!N42="H", "S", LEFT('Raw File'!N42, 1))</f>
        <v/>
      </c>
      <c r="J42" t="str">
        <f>IF('Raw File'!J42&gt;0,'Raw File'!J42," ")</f>
        <v xml:space="preserve"> </v>
      </c>
      <c r="L42" t="str">
        <f>IF('Raw File'!M42&gt;0,'Raw File'!M42," ")</f>
        <v xml:space="preserve"> </v>
      </c>
      <c r="M42" t="str">
        <f>IF('Raw File'!K42&gt;0,'Raw File'!K42," ")</f>
        <v xml:space="preserve"> </v>
      </c>
      <c r="N42" t="str">
        <f>IF('Raw File'!L42&gt;0,'Raw File'!L42," ")</f>
        <v xml:space="preserve"> </v>
      </c>
      <c r="U42" t="str">
        <f>IF('Raw File'!Q42&gt;0,'Raw File'!Q42," ")</f>
        <v xml:space="preserve"> </v>
      </c>
      <c r="Y42" t="str">
        <f>IF('Raw File'!C42&gt;0,'Raw File'!C42," ")</f>
        <v xml:space="preserve"> </v>
      </c>
      <c r="Z42" t="str">
        <f>IF('Raw File'!C42&gt;0, "A", " ")</f>
        <v xml:space="preserve"> </v>
      </c>
      <c r="AA42" t="str">
        <f>IF('Raw File'!C42&gt;0, "F", " ")</f>
        <v xml:space="preserve"> </v>
      </c>
      <c r="AB42" t="str">
        <f>IF('Raw File'!H42&gt;0,'Raw File'!H42," ")</f>
        <v xml:space="preserve"> </v>
      </c>
      <c r="AC42" s="11" t="str">
        <f>IF('Raw File'!C42&gt;0,IF(WhatColor('Raw File'!C42)&gt;10,8810,8018)," ")</f>
        <v xml:space="preserve"> </v>
      </c>
      <c r="AD42" s="1" t="str">
        <f>IF('Raw File'!C42&gt;0,'Raw File'!A42," ")</f>
        <v xml:space="preserve"> </v>
      </c>
      <c r="AE42" s="1" t="str">
        <f>IF('Raw File'!C42&gt;0,'Raw File'!A42," ")</f>
        <v xml:space="preserve"> </v>
      </c>
      <c r="AF42" s="1" t="str">
        <f>IF('Raw File'!C42&gt;0,'Raw File'!A42," ")</f>
        <v xml:space="preserve"> </v>
      </c>
      <c r="AG42" t="str">
        <f>IF('Raw File'!C42&gt;0,'Raw File'!C42, " ")</f>
        <v xml:space="preserve"> </v>
      </c>
      <c r="AQ42" t="str">
        <f>IF('Raw File'!G42&gt;0, IF('Raw File'!G42&lt;100, "H", "S"), " ")</f>
        <v xml:space="preserve"> </v>
      </c>
      <c r="AR42" t="str">
        <f>IF('Raw File'!G42&gt;0,'Raw File'!G42," ")</f>
        <v xml:space="preserve"> </v>
      </c>
      <c r="AT42" t="str">
        <f>IF('Raw File'!C42&gt;0,40," ")</f>
        <v xml:space="preserve"> </v>
      </c>
      <c r="AV42" t="str">
        <f>IF('Raw File'!N42= 0, " ", IF('Raw File'!N42="S", "SS", IF( 'Raw File'!N42= "M", "MJ", IF('Raw File'!N42= "H", "H"))))</f>
        <v xml:space="preserve"> </v>
      </c>
      <c r="AW42" s="12"/>
      <c r="AX42" t="str">
        <f>LEFT('Raw File'!P42,1)</f>
        <v/>
      </c>
      <c r="AY42" t="str">
        <f>LEFT('Raw File'!N42,1)</f>
        <v/>
      </c>
      <c r="AZ42">
        <f>IF('Raw File'!O42="exempt",99,IF('Raw File'!O42&gt;0,'Raw File'!O42/2000,IF('Raw File'!O42=0,'Raw File'!O42," ")))</f>
        <v>0</v>
      </c>
      <c r="BA42" t="str">
        <f>LEFT('Raw File'!P42,1)</f>
        <v/>
      </c>
      <c r="BJ42" t="str">
        <f>IF('Raw File'!C42&gt;0,"1"," ")</f>
        <v xml:space="preserve"> </v>
      </c>
      <c r="BX42" t="str">
        <f>IF('Raw File'!C42&gt;0,"WEEKLY"," ")</f>
        <v xml:space="preserve"> </v>
      </c>
      <c r="CA42" t="str">
        <f>IF('Raw File'!C42&gt;0, "N"," ")</f>
        <v xml:space="preserve"> </v>
      </c>
      <c r="CI42" t="str">
        <f>IF('Raw File'!C42&gt;0, "W", " ")</f>
        <v xml:space="preserve"> </v>
      </c>
      <c r="DN42" s="1" t="str">
        <f>IF('Raw File'!C42&gt;0,'Raw File'!A42," ")</f>
        <v xml:space="preserve"> </v>
      </c>
      <c r="GY42">
        <f>IF('Raw File'!O42=" "," ",IF('Raw File'!O42&gt;100,'Raw File'!O42,IF('Raw File'!O42="exempt","99999",IF('Raw File'!O42&lt;100, 'Raw File'!O42*2000, " "))))</f>
        <v>0</v>
      </c>
      <c r="HQ42" t="str">
        <f>IF('Raw File'!C42&gt;0,"1"," ")</f>
        <v xml:space="preserve"> </v>
      </c>
    </row>
    <row r="43" spans="1:225" x14ac:dyDescent="0.35">
      <c r="A43" t="str">
        <f>IF('Raw File'!E43&gt;0,'Raw File'!E43, " ")</f>
        <v xml:space="preserve"> </v>
      </c>
      <c r="B43" t="str">
        <f>IF('Raw File'!D43&gt;0,'Raw File'!D43," ")</f>
        <v xml:space="preserve"> </v>
      </c>
      <c r="C43" t="str">
        <f>IF('Raw File'!F43&gt;0,'Raw File'!F43, " ")</f>
        <v xml:space="preserve"> </v>
      </c>
      <c r="D43" s="1" t="str">
        <f>IF('Raw File'!R43&gt;0,'Raw File'!R43, " ")</f>
        <v xml:space="preserve"> </v>
      </c>
      <c r="E43" t="str">
        <f>IF('Raw File'!C43&gt;0, 296, " ")</f>
        <v xml:space="preserve"> </v>
      </c>
      <c r="F43" s="10" t="str">
        <f>IF('Raw File'!C43&gt;0, "5", " ")</f>
        <v xml:space="preserve"> </v>
      </c>
      <c r="G43" t="str">
        <f>IF('Raw File'!C43&gt;0, "X", " ")</f>
        <v xml:space="preserve"> </v>
      </c>
      <c r="H43" t="str">
        <f>IF('Raw File'!N43="H", "S", LEFT('Raw File'!N43, 1))</f>
        <v/>
      </c>
      <c r="J43" t="str">
        <f>IF('Raw File'!J43&gt;0,'Raw File'!J43," ")</f>
        <v xml:space="preserve"> </v>
      </c>
      <c r="L43" t="str">
        <f>IF('Raw File'!M43&gt;0,'Raw File'!M43," ")</f>
        <v xml:space="preserve"> </v>
      </c>
      <c r="M43" t="str">
        <f>IF('Raw File'!K43&gt;0,'Raw File'!K43," ")</f>
        <v xml:space="preserve"> </v>
      </c>
      <c r="N43" t="str">
        <f>IF('Raw File'!L43&gt;0,'Raw File'!L43," ")</f>
        <v xml:space="preserve"> </v>
      </c>
      <c r="U43" t="str">
        <f>IF('Raw File'!Q43&gt;0,'Raw File'!Q43," ")</f>
        <v xml:space="preserve"> </v>
      </c>
      <c r="Y43" t="str">
        <f>IF('Raw File'!C43&gt;0,'Raw File'!C43," ")</f>
        <v xml:space="preserve"> </v>
      </c>
      <c r="Z43" t="str">
        <f>IF('Raw File'!C43&gt;0, "A", " ")</f>
        <v xml:space="preserve"> </v>
      </c>
      <c r="AA43" t="str">
        <f>IF('Raw File'!C43&gt;0, "F", " ")</f>
        <v xml:space="preserve"> </v>
      </c>
      <c r="AB43" t="str">
        <f>IF('Raw File'!H43&gt;0,'Raw File'!H43," ")</f>
        <v xml:space="preserve"> </v>
      </c>
      <c r="AC43" s="11" t="str">
        <f>IF('Raw File'!C43&gt;0,IF(WhatColor('Raw File'!C43)&gt;10,8810,8018)," ")</f>
        <v xml:space="preserve"> </v>
      </c>
      <c r="AD43" s="1" t="str">
        <f>IF('Raw File'!C43&gt;0,'Raw File'!A43," ")</f>
        <v xml:space="preserve"> </v>
      </c>
      <c r="AE43" s="1" t="str">
        <f>IF('Raw File'!C43&gt;0,'Raw File'!A43," ")</f>
        <v xml:space="preserve"> </v>
      </c>
      <c r="AF43" s="1" t="str">
        <f>IF('Raw File'!C43&gt;0,'Raw File'!A43," ")</f>
        <v xml:space="preserve"> </v>
      </c>
      <c r="AG43" t="str">
        <f>IF('Raw File'!C43&gt;0,'Raw File'!C43, " ")</f>
        <v xml:space="preserve"> </v>
      </c>
      <c r="AQ43" t="str">
        <f>IF('Raw File'!G43&gt;0, IF('Raw File'!G43&lt;100, "H", "S"), " ")</f>
        <v xml:space="preserve"> </v>
      </c>
      <c r="AR43" t="str">
        <f>IF('Raw File'!G43&gt;0,'Raw File'!G43," ")</f>
        <v xml:space="preserve"> </v>
      </c>
      <c r="AT43" t="str">
        <f>IF('Raw File'!C43&gt;0,40," ")</f>
        <v xml:space="preserve"> </v>
      </c>
      <c r="AV43" t="str">
        <f>IF('Raw File'!N43= 0, " ", IF('Raw File'!N43="S", "SS", IF( 'Raw File'!N43= "M", "MJ", IF('Raw File'!N43= "H", "H"))))</f>
        <v xml:space="preserve"> </v>
      </c>
      <c r="AW43" s="12"/>
      <c r="AX43" t="str">
        <f>LEFT('Raw File'!P43,1)</f>
        <v/>
      </c>
      <c r="AY43" t="str">
        <f>LEFT('Raw File'!N43,1)</f>
        <v/>
      </c>
      <c r="AZ43">
        <f>IF('Raw File'!O43="exempt",99,IF('Raw File'!O43&gt;0,'Raw File'!O43/2000,IF('Raw File'!O43=0,'Raw File'!O43," ")))</f>
        <v>0</v>
      </c>
      <c r="BA43" t="str">
        <f>LEFT('Raw File'!P43,1)</f>
        <v/>
      </c>
      <c r="BJ43" t="str">
        <f>IF('Raw File'!C43&gt;0,"1"," ")</f>
        <v xml:space="preserve"> </v>
      </c>
      <c r="BX43" t="str">
        <f>IF('Raw File'!C43&gt;0,"WEEKLY"," ")</f>
        <v xml:space="preserve"> </v>
      </c>
      <c r="CA43" t="str">
        <f>IF('Raw File'!C43&gt;0, "N"," ")</f>
        <v xml:space="preserve"> </v>
      </c>
      <c r="CI43" t="str">
        <f>IF('Raw File'!C43&gt;0, "W", " ")</f>
        <v xml:space="preserve"> </v>
      </c>
      <c r="DN43" s="1" t="str">
        <f>IF('Raw File'!C43&gt;0,'Raw File'!A43," ")</f>
        <v xml:space="preserve"> </v>
      </c>
      <c r="GY43">
        <f>IF('Raw File'!O43=" "," ",IF('Raw File'!O43&gt;100,'Raw File'!O43,IF('Raw File'!O43="exempt","99999",IF('Raw File'!O43&lt;100, 'Raw File'!O43*2000, " "))))</f>
        <v>0</v>
      </c>
      <c r="HQ43" t="str">
        <f>IF('Raw File'!C43&gt;0,"1"," ")</f>
        <v xml:space="preserve"> </v>
      </c>
    </row>
    <row r="44" spans="1:225" x14ac:dyDescent="0.35">
      <c r="A44" t="str">
        <f>IF('Raw File'!E44&gt;0,'Raw File'!E44, " ")</f>
        <v xml:space="preserve"> </v>
      </c>
      <c r="B44" t="str">
        <f>IF('Raw File'!D44&gt;0,'Raw File'!D44," ")</f>
        <v xml:space="preserve"> </v>
      </c>
      <c r="C44" t="str">
        <f>IF('Raw File'!F44&gt;0,'Raw File'!F44, " ")</f>
        <v xml:space="preserve"> </v>
      </c>
      <c r="D44" s="1" t="str">
        <f>IF('Raw File'!R44&gt;0,'Raw File'!R44, " ")</f>
        <v xml:space="preserve"> </v>
      </c>
      <c r="E44" t="str">
        <f>IF('Raw File'!C44&gt;0, 296, " ")</f>
        <v xml:space="preserve"> </v>
      </c>
      <c r="F44" s="10" t="str">
        <f>IF('Raw File'!C44&gt;0, "5", " ")</f>
        <v xml:space="preserve"> </v>
      </c>
      <c r="G44" t="str">
        <f>IF('Raw File'!C44&gt;0, "X", " ")</f>
        <v xml:space="preserve"> </v>
      </c>
      <c r="H44" t="str">
        <f>IF('Raw File'!N44="H", "S", LEFT('Raw File'!N44, 1))</f>
        <v/>
      </c>
      <c r="J44" t="str">
        <f>IF('Raw File'!J44&gt;0,'Raw File'!J44," ")</f>
        <v xml:space="preserve"> </v>
      </c>
      <c r="L44" t="str">
        <f>IF('Raw File'!M44&gt;0,'Raw File'!M44," ")</f>
        <v xml:space="preserve"> </v>
      </c>
      <c r="M44" t="str">
        <f>IF('Raw File'!K44&gt;0,'Raw File'!K44," ")</f>
        <v xml:space="preserve"> </v>
      </c>
      <c r="N44" t="str">
        <f>IF('Raw File'!L44&gt;0,'Raw File'!L44," ")</f>
        <v xml:space="preserve"> </v>
      </c>
      <c r="U44" t="str">
        <f>IF('Raw File'!Q44&gt;0,'Raw File'!Q44," ")</f>
        <v xml:space="preserve"> </v>
      </c>
      <c r="Y44" t="str">
        <f>IF('Raw File'!C44&gt;0,'Raw File'!C44," ")</f>
        <v xml:space="preserve"> </v>
      </c>
      <c r="Z44" t="str">
        <f>IF('Raw File'!C44&gt;0, "A", " ")</f>
        <v xml:space="preserve"> </v>
      </c>
      <c r="AA44" t="str">
        <f>IF('Raw File'!C44&gt;0, "F", " ")</f>
        <v xml:space="preserve"> </v>
      </c>
      <c r="AB44" t="str">
        <f>IF('Raw File'!H44&gt;0,'Raw File'!H44," ")</f>
        <v xml:space="preserve"> </v>
      </c>
      <c r="AC44" s="11" t="str">
        <f>IF('Raw File'!C44&gt;0,IF(WhatColor('Raw File'!C44)&gt;10,8810,8018)," ")</f>
        <v xml:space="preserve"> </v>
      </c>
      <c r="AD44" s="1" t="str">
        <f>IF('Raw File'!C44&gt;0,'Raw File'!A44," ")</f>
        <v xml:space="preserve"> </v>
      </c>
      <c r="AE44" s="1" t="str">
        <f>IF('Raw File'!C44&gt;0,'Raw File'!A44," ")</f>
        <v xml:space="preserve"> </v>
      </c>
      <c r="AF44" s="1" t="str">
        <f>IF('Raw File'!C44&gt;0,'Raw File'!A44," ")</f>
        <v xml:space="preserve"> </v>
      </c>
      <c r="AG44" t="str">
        <f>IF('Raw File'!C44&gt;0,'Raw File'!C44, " ")</f>
        <v xml:space="preserve"> </v>
      </c>
      <c r="AQ44" t="str">
        <f>IF('Raw File'!G44&gt;0, IF('Raw File'!G44&lt;100, "H", "S"), " ")</f>
        <v xml:space="preserve"> </v>
      </c>
      <c r="AR44" t="str">
        <f>IF('Raw File'!G44&gt;0,'Raw File'!G44," ")</f>
        <v xml:space="preserve"> </v>
      </c>
      <c r="AT44" t="str">
        <f>IF('Raw File'!C44&gt;0,40," ")</f>
        <v xml:space="preserve"> </v>
      </c>
      <c r="AV44" t="str">
        <f>IF('Raw File'!N44= 0, " ", IF('Raw File'!N44="S", "SS", IF( 'Raw File'!N44= "M", "MJ", IF('Raw File'!N44= "H", "H"))))</f>
        <v xml:space="preserve"> </v>
      </c>
      <c r="AW44" s="12"/>
      <c r="AX44" t="str">
        <f>LEFT('Raw File'!P44,1)</f>
        <v/>
      </c>
      <c r="AY44" t="str">
        <f>LEFT('Raw File'!N44,1)</f>
        <v/>
      </c>
      <c r="AZ44">
        <f>IF('Raw File'!O44="exempt",99,IF('Raw File'!O44&gt;0,'Raw File'!O44/2000,IF('Raw File'!O44=0,'Raw File'!O44," ")))</f>
        <v>0</v>
      </c>
      <c r="BA44" t="str">
        <f>LEFT('Raw File'!P44,1)</f>
        <v/>
      </c>
      <c r="BJ44" t="str">
        <f>IF('Raw File'!C44&gt;0,"1"," ")</f>
        <v xml:space="preserve"> </v>
      </c>
      <c r="BX44" t="str">
        <f>IF('Raw File'!C44&gt;0,"WEEKLY"," ")</f>
        <v xml:space="preserve"> </v>
      </c>
      <c r="CA44" t="str">
        <f>IF('Raw File'!C44&gt;0, "N"," ")</f>
        <v xml:space="preserve"> </v>
      </c>
      <c r="CI44" t="str">
        <f>IF('Raw File'!C44&gt;0, "W", " ")</f>
        <v xml:space="preserve"> </v>
      </c>
      <c r="DN44" s="1" t="str">
        <f>IF('Raw File'!C44&gt;0,'Raw File'!A44," ")</f>
        <v xml:space="preserve"> </v>
      </c>
      <c r="GY44">
        <f>IF('Raw File'!O44=" "," ",IF('Raw File'!O44&gt;100,'Raw File'!O44,IF('Raw File'!O44="exempt","99999",IF('Raw File'!O44&lt;100, 'Raw File'!O44*2000, " "))))</f>
        <v>0</v>
      </c>
      <c r="HQ44" t="str">
        <f>IF('Raw File'!C44&gt;0,"1"," ")</f>
        <v xml:space="preserve"> </v>
      </c>
    </row>
    <row r="45" spans="1:225" x14ac:dyDescent="0.35">
      <c r="A45" t="str">
        <f>IF('Raw File'!E45&gt;0,'Raw File'!E45, " ")</f>
        <v xml:space="preserve"> </v>
      </c>
      <c r="B45" t="str">
        <f>IF('Raw File'!D45&gt;0,'Raw File'!D45," ")</f>
        <v xml:space="preserve"> </v>
      </c>
      <c r="C45" t="str">
        <f>IF('Raw File'!F45&gt;0,'Raw File'!F45, " ")</f>
        <v xml:space="preserve"> </v>
      </c>
      <c r="D45" s="1" t="str">
        <f>IF('Raw File'!R45&gt;0,'Raw File'!R45, " ")</f>
        <v xml:space="preserve"> </v>
      </c>
      <c r="E45" t="str">
        <f>IF('Raw File'!C45&gt;0, 296, " ")</f>
        <v xml:space="preserve"> </v>
      </c>
      <c r="F45" s="10" t="str">
        <f>IF('Raw File'!C45&gt;0, "5", " ")</f>
        <v xml:space="preserve"> </v>
      </c>
      <c r="G45" t="str">
        <f>IF('Raw File'!C45&gt;0, "X", " ")</f>
        <v xml:space="preserve"> </v>
      </c>
      <c r="H45" t="str">
        <f>IF('Raw File'!N45="H", "S", LEFT('Raw File'!N45, 1))</f>
        <v/>
      </c>
      <c r="J45" t="str">
        <f>IF('Raw File'!J45&gt;0,'Raw File'!J45," ")</f>
        <v xml:space="preserve"> </v>
      </c>
      <c r="L45" t="str">
        <f>IF('Raw File'!M45&gt;0,'Raw File'!M45," ")</f>
        <v xml:space="preserve"> </v>
      </c>
      <c r="M45" t="str">
        <f>IF('Raw File'!K45&gt;0,'Raw File'!K45," ")</f>
        <v xml:space="preserve"> </v>
      </c>
      <c r="N45" t="str">
        <f>IF('Raw File'!L45&gt;0,'Raw File'!L45," ")</f>
        <v xml:space="preserve"> </v>
      </c>
      <c r="U45" t="str">
        <f>IF('Raw File'!Q45&gt;0,'Raw File'!Q45," ")</f>
        <v xml:space="preserve"> </v>
      </c>
      <c r="Y45" t="str">
        <f>IF('Raw File'!C45&gt;0,'Raw File'!C45," ")</f>
        <v xml:space="preserve"> </v>
      </c>
      <c r="Z45" t="str">
        <f>IF('Raw File'!C45&gt;0, "A", " ")</f>
        <v xml:space="preserve"> </v>
      </c>
      <c r="AA45" t="str">
        <f>IF('Raw File'!C45&gt;0, "F", " ")</f>
        <v xml:space="preserve"> </v>
      </c>
      <c r="AB45" t="str">
        <f>IF('Raw File'!H45&gt;0,'Raw File'!H45," ")</f>
        <v xml:space="preserve"> </v>
      </c>
      <c r="AC45" s="11" t="str">
        <f>IF('Raw File'!C45&gt;0,IF(WhatColor('Raw File'!C45)&gt;10,8810,8018)," ")</f>
        <v xml:space="preserve"> </v>
      </c>
      <c r="AD45" s="1" t="str">
        <f>IF('Raw File'!C45&gt;0,'Raw File'!A45," ")</f>
        <v xml:space="preserve"> </v>
      </c>
      <c r="AE45" s="1" t="str">
        <f>IF('Raw File'!C45&gt;0,'Raw File'!A45," ")</f>
        <v xml:space="preserve"> </v>
      </c>
      <c r="AF45" s="1" t="str">
        <f>IF('Raw File'!C45&gt;0,'Raw File'!A45," ")</f>
        <v xml:space="preserve"> </v>
      </c>
      <c r="AG45" t="str">
        <f>IF('Raw File'!C45&gt;0,'Raw File'!C45, " ")</f>
        <v xml:space="preserve"> </v>
      </c>
      <c r="AQ45" t="str">
        <f>IF('Raw File'!G45&gt;0, IF('Raw File'!G45&lt;100, "H", "S"), " ")</f>
        <v xml:space="preserve"> </v>
      </c>
      <c r="AR45" t="str">
        <f>IF('Raw File'!G45&gt;0,'Raw File'!G45," ")</f>
        <v xml:space="preserve"> </v>
      </c>
      <c r="AT45" t="str">
        <f>IF('Raw File'!C45&gt;0,40," ")</f>
        <v xml:space="preserve"> </v>
      </c>
      <c r="AV45" t="str">
        <f>IF('Raw File'!N45= 0, " ", IF('Raw File'!N45="S", "SS", IF( 'Raw File'!N45= "M", "MJ", IF('Raw File'!N45= "H", "H"))))</f>
        <v xml:space="preserve"> </v>
      </c>
      <c r="AW45" s="12"/>
      <c r="AX45" t="str">
        <f>LEFT('Raw File'!P45,1)</f>
        <v/>
      </c>
      <c r="AY45" t="str">
        <f>LEFT('Raw File'!N45,1)</f>
        <v/>
      </c>
      <c r="AZ45">
        <f>IF('Raw File'!O45="exempt",99,IF('Raw File'!O45&gt;0,'Raw File'!O45/2000,IF('Raw File'!O45=0,'Raw File'!O45," ")))</f>
        <v>0</v>
      </c>
      <c r="BA45" t="str">
        <f>LEFT('Raw File'!P45,1)</f>
        <v/>
      </c>
      <c r="BJ45" t="str">
        <f>IF('Raw File'!C45&gt;0,"1"," ")</f>
        <v xml:space="preserve"> </v>
      </c>
      <c r="BX45" t="str">
        <f>IF('Raw File'!C45&gt;0,"WEEKLY"," ")</f>
        <v xml:space="preserve"> </v>
      </c>
      <c r="CA45" t="str">
        <f>IF('Raw File'!C45&gt;0, "N"," ")</f>
        <v xml:space="preserve"> </v>
      </c>
      <c r="CI45" t="str">
        <f>IF('Raw File'!C45&gt;0, "W", " ")</f>
        <v xml:space="preserve"> </v>
      </c>
      <c r="DN45" s="1" t="str">
        <f>IF('Raw File'!C45&gt;0,'Raw File'!A45," ")</f>
        <v xml:space="preserve"> </v>
      </c>
      <c r="GY45">
        <f>IF('Raw File'!O45=" "," ",IF('Raw File'!O45&gt;100,'Raw File'!O45,IF('Raw File'!O45="exempt","99999",IF('Raw File'!O45&lt;100, 'Raw File'!O45*2000, " "))))</f>
        <v>0</v>
      </c>
      <c r="HQ45" t="str">
        <f>IF('Raw File'!C45&gt;0,"1"," ")</f>
        <v xml:space="preserve"> </v>
      </c>
    </row>
    <row r="46" spans="1:225" x14ac:dyDescent="0.35">
      <c r="A46" t="str">
        <f>IF('Raw File'!E46&gt;0,'Raw File'!E46, " ")</f>
        <v xml:space="preserve"> </v>
      </c>
      <c r="B46" t="str">
        <f>IF('Raw File'!D46&gt;0,'Raw File'!D46," ")</f>
        <v xml:space="preserve"> </v>
      </c>
      <c r="C46" t="str">
        <f>IF('Raw File'!F46&gt;0,'Raw File'!F46, " ")</f>
        <v xml:space="preserve"> </v>
      </c>
      <c r="D46" s="1" t="str">
        <f>IF('Raw File'!R46&gt;0,'Raw File'!R46, " ")</f>
        <v xml:space="preserve"> </v>
      </c>
      <c r="E46" t="str">
        <f>IF('Raw File'!C46&gt;0, 296, " ")</f>
        <v xml:space="preserve"> </v>
      </c>
      <c r="F46" s="10" t="str">
        <f>IF('Raw File'!C46&gt;0, "5", " ")</f>
        <v xml:space="preserve"> </v>
      </c>
      <c r="G46" t="str">
        <f>IF('Raw File'!C46&gt;0, "X", " ")</f>
        <v xml:space="preserve"> </v>
      </c>
      <c r="H46" t="str">
        <f>IF('Raw File'!N46="H", "S", LEFT('Raw File'!N46, 1))</f>
        <v/>
      </c>
      <c r="J46" t="str">
        <f>IF('Raw File'!J46&gt;0,'Raw File'!J46," ")</f>
        <v xml:space="preserve"> </v>
      </c>
      <c r="L46" t="str">
        <f>IF('Raw File'!M46&gt;0,'Raw File'!M46," ")</f>
        <v xml:space="preserve"> </v>
      </c>
      <c r="M46" t="str">
        <f>IF('Raw File'!K46&gt;0,'Raw File'!K46," ")</f>
        <v xml:space="preserve"> </v>
      </c>
      <c r="N46" t="str">
        <f>IF('Raw File'!L46&gt;0,'Raw File'!L46," ")</f>
        <v xml:space="preserve"> </v>
      </c>
      <c r="U46" t="str">
        <f>IF('Raw File'!Q46&gt;0,'Raw File'!Q46," ")</f>
        <v xml:space="preserve"> </v>
      </c>
      <c r="Y46" t="str">
        <f>IF('Raw File'!C46&gt;0,'Raw File'!C46," ")</f>
        <v xml:space="preserve"> </v>
      </c>
      <c r="Z46" t="str">
        <f>IF('Raw File'!C46&gt;0, "A", " ")</f>
        <v xml:space="preserve"> </v>
      </c>
      <c r="AA46" t="str">
        <f>IF('Raw File'!C46&gt;0, "F", " ")</f>
        <v xml:space="preserve"> </v>
      </c>
      <c r="AB46" t="str">
        <f>IF('Raw File'!H46&gt;0,'Raw File'!H46," ")</f>
        <v xml:space="preserve"> </v>
      </c>
      <c r="AC46" s="11" t="str">
        <f>IF('Raw File'!C46&gt;0,IF(WhatColor('Raw File'!C46)&gt;10,8810,8018)," ")</f>
        <v xml:space="preserve"> </v>
      </c>
      <c r="AD46" s="1" t="str">
        <f>IF('Raw File'!C46&gt;0,'Raw File'!A46," ")</f>
        <v xml:space="preserve"> </v>
      </c>
      <c r="AE46" s="1" t="str">
        <f>IF('Raw File'!C46&gt;0,'Raw File'!A46," ")</f>
        <v xml:space="preserve"> </v>
      </c>
      <c r="AF46" s="1" t="str">
        <f>IF('Raw File'!C46&gt;0,'Raw File'!A46," ")</f>
        <v xml:space="preserve"> </v>
      </c>
      <c r="AG46" t="str">
        <f>IF('Raw File'!C46&gt;0,'Raw File'!C46, " ")</f>
        <v xml:space="preserve"> </v>
      </c>
      <c r="AQ46" t="str">
        <f>IF('Raw File'!G46&gt;0, IF('Raw File'!G46&lt;100, "H", "S"), " ")</f>
        <v xml:space="preserve"> </v>
      </c>
      <c r="AR46" t="str">
        <f>IF('Raw File'!G46&gt;0,'Raw File'!G46," ")</f>
        <v xml:space="preserve"> </v>
      </c>
      <c r="AT46" t="str">
        <f>IF('Raw File'!C46&gt;0,40," ")</f>
        <v xml:space="preserve"> </v>
      </c>
      <c r="AV46" t="str">
        <f>IF('Raw File'!N46= 0, " ", IF('Raw File'!N46="S", "SS", IF( 'Raw File'!N46= "M", "MJ", IF('Raw File'!N46= "H", "H"))))</f>
        <v xml:space="preserve"> </v>
      </c>
      <c r="AW46" s="12"/>
      <c r="AX46" t="str">
        <f>LEFT('Raw File'!P46,1)</f>
        <v/>
      </c>
      <c r="AY46" t="str">
        <f>LEFT('Raw File'!N46,1)</f>
        <v/>
      </c>
      <c r="AZ46">
        <f>IF('Raw File'!O46="exempt",99,IF('Raw File'!O46&gt;0,'Raw File'!O46/2000,IF('Raw File'!O46=0,'Raw File'!O46," ")))</f>
        <v>0</v>
      </c>
      <c r="BA46" t="str">
        <f>LEFT('Raw File'!P46,1)</f>
        <v/>
      </c>
      <c r="BJ46" t="str">
        <f>IF('Raw File'!C46&gt;0,"1"," ")</f>
        <v xml:space="preserve"> </v>
      </c>
      <c r="BX46" t="str">
        <f>IF('Raw File'!C46&gt;0,"WEEKLY"," ")</f>
        <v xml:space="preserve"> </v>
      </c>
      <c r="CA46" t="str">
        <f>IF('Raw File'!C46&gt;0, "N"," ")</f>
        <v xml:space="preserve"> </v>
      </c>
      <c r="CI46" t="str">
        <f>IF('Raw File'!C46&gt;0, "W", " ")</f>
        <v xml:space="preserve"> </v>
      </c>
      <c r="DN46" s="1" t="str">
        <f>IF('Raw File'!C46&gt;0,'Raw File'!A46," ")</f>
        <v xml:space="preserve"> </v>
      </c>
      <c r="GY46">
        <f>IF('Raw File'!O46=" "," ",IF('Raw File'!O46&gt;100,'Raw File'!O46,IF('Raw File'!O46="exempt","99999",IF('Raw File'!O46&lt;100, 'Raw File'!O46*2000, " "))))</f>
        <v>0</v>
      </c>
      <c r="HQ46" t="str">
        <f>IF('Raw File'!C46&gt;0,"1"," ")</f>
        <v xml:space="preserve"> </v>
      </c>
    </row>
    <row r="47" spans="1:225" x14ac:dyDescent="0.35">
      <c r="A47" t="str">
        <f>IF('Raw File'!E47&gt;0,'Raw File'!E47, " ")</f>
        <v xml:space="preserve"> </v>
      </c>
      <c r="B47" t="str">
        <f>IF('Raw File'!D47&gt;0,'Raw File'!D47," ")</f>
        <v xml:space="preserve"> </v>
      </c>
      <c r="C47" t="str">
        <f>IF('Raw File'!F47&gt;0,'Raw File'!F47, " ")</f>
        <v xml:space="preserve"> </v>
      </c>
      <c r="D47" s="1" t="str">
        <f>IF('Raw File'!R47&gt;0,'Raw File'!R47, " ")</f>
        <v xml:space="preserve"> </v>
      </c>
      <c r="E47" t="str">
        <f>IF('Raw File'!C47&gt;0, 296, " ")</f>
        <v xml:space="preserve"> </v>
      </c>
      <c r="F47" s="10" t="str">
        <f>IF('Raw File'!C47&gt;0, "5", " ")</f>
        <v xml:space="preserve"> </v>
      </c>
      <c r="G47" t="str">
        <f>IF('Raw File'!C47&gt;0, "X", " ")</f>
        <v xml:space="preserve"> </v>
      </c>
      <c r="H47" t="str">
        <f>IF('Raw File'!N47="H", "S", LEFT('Raw File'!N47, 1))</f>
        <v/>
      </c>
      <c r="J47" t="str">
        <f>IF('Raw File'!J47&gt;0,'Raw File'!J47," ")</f>
        <v xml:space="preserve"> </v>
      </c>
      <c r="L47" t="str">
        <f>IF('Raw File'!M47&gt;0,'Raw File'!M47," ")</f>
        <v xml:space="preserve"> </v>
      </c>
      <c r="M47" t="str">
        <f>IF('Raw File'!K47&gt;0,'Raw File'!K47," ")</f>
        <v xml:space="preserve"> </v>
      </c>
      <c r="N47" t="str">
        <f>IF('Raw File'!L47&gt;0,'Raw File'!L47," ")</f>
        <v xml:space="preserve"> </v>
      </c>
      <c r="U47" t="str">
        <f>IF('Raw File'!Q47&gt;0,'Raw File'!Q47," ")</f>
        <v xml:space="preserve"> </v>
      </c>
      <c r="Y47" t="str">
        <f>IF('Raw File'!C47&gt;0,'Raw File'!C47," ")</f>
        <v xml:space="preserve"> </v>
      </c>
      <c r="Z47" t="str">
        <f>IF('Raw File'!C47&gt;0, "A", " ")</f>
        <v xml:space="preserve"> </v>
      </c>
      <c r="AA47" t="str">
        <f>IF('Raw File'!C47&gt;0, "F", " ")</f>
        <v xml:space="preserve"> </v>
      </c>
      <c r="AB47" t="str">
        <f>IF('Raw File'!H47&gt;0,'Raw File'!H47," ")</f>
        <v xml:space="preserve"> </v>
      </c>
      <c r="AC47" s="11" t="str">
        <f>IF('Raw File'!C47&gt;0,IF(WhatColor('Raw File'!C47)&gt;10,8810,8018)," ")</f>
        <v xml:space="preserve"> </v>
      </c>
      <c r="AD47" s="1" t="str">
        <f>IF('Raw File'!C47&gt;0,'Raw File'!A47," ")</f>
        <v xml:space="preserve"> </v>
      </c>
      <c r="AE47" s="1" t="str">
        <f>IF('Raw File'!C47&gt;0,'Raw File'!A47," ")</f>
        <v xml:space="preserve"> </v>
      </c>
      <c r="AF47" s="1" t="str">
        <f>IF('Raw File'!C47&gt;0,'Raw File'!A47," ")</f>
        <v xml:space="preserve"> </v>
      </c>
      <c r="AG47" t="str">
        <f>IF('Raw File'!C47&gt;0,'Raw File'!C47, " ")</f>
        <v xml:space="preserve"> </v>
      </c>
      <c r="AQ47" t="str">
        <f>IF('Raw File'!G47&gt;0, IF('Raw File'!G47&lt;100, "H", "S"), " ")</f>
        <v xml:space="preserve"> </v>
      </c>
      <c r="AR47" t="str">
        <f>IF('Raw File'!G47&gt;0,'Raw File'!G47," ")</f>
        <v xml:space="preserve"> </v>
      </c>
      <c r="AT47" t="str">
        <f>IF('Raw File'!C47&gt;0,40," ")</f>
        <v xml:space="preserve"> </v>
      </c>
      <c r="AV47" t="str">
        <f>IF('Raw File'!N47= 0, " ", IF('Raw File'!N47="S", "SS", IF( 'Raw File'!N47= "M", "MJ", IF('Raw File'!N47= "H", "H"))))</f>
        <v xml:space="preserve"> </v>
      </c>
      <c r="AW47" s="12"/>
      <c r="AX47" t="str">
        <f>LEFT('Raw File'!P47,1)</f>
        <v/>
      </c>
      <c r="AY47" t="str">
        <f>LEFT('Raw File'!N47,1)</f>
        <v/>
      </c>
      <c r="AZ47">
        <f>IF('Raw File'!O47="exempt",99,IF('Raw File'!O47&gt;0,'Raw File'!O47/2000,IF('Raw File'!O47=0,'Raw File'!O47," ")))</f>
        <v>0</v>
      </c>
      <c r="BA47" t="str">
        <f>LEFT('Raw File'!P47,1)</f>
        <v/>
      </c>
      <c r="BJ47" t="str">
        <f>IF('Raw File'!C47&gt;0,"1"," ")</f>
        <v xml:space="preserve"> </v>
      </c>
      <c r="BX47" t="str">
        <f>IF('Raw File'!C47&gt;0,"WEEKLY"," ")</f>
        <v xml:space="preserve"> </v>
      </c>
      <c r="CA47" t="str">
        <f>IF('Raw File'!C47&gt;0, "N"," ")</f>
        <v xml:space="preserve"> </v>
      </c>
      <c r="CI47" t="str">
        <f>IF('Raw File'!C47&gt;0, "W", " ")</f>
        <v xml:space="preserve"> </v>
      </c>
      <c r="DN47" s="1" t="str">
        <f>IF('Raw File'!C47&gt;0,'Raw File'!A47," ")</f>
        <v xml:space="preserve"> </v>
      </c>
      <c r="GY47">
        <f>IF('Raw File'!O47=" "," ",IF('Raw File'!O47&gt;100,'Raw File'!O47,IF('Raw File'!O47="exempt","99999",IF('Raw File'!O47&lt;100, 'Raw File'!O47*2000, " "))))</f>
        <v>0</v>
      </c>
      <c r="HQ47" t="str">
        <f>IF('Raw File'!C47&gt;0,"1"," ")</f>
        <v xml:space="preserve"> </v>
      </c>
    </row>
    <row r="48" spans="1:225" x14ac:dyDescent="0.35">
      <c r="A48" t="str">
        <f>IF('Raw File'!E48&gt;0,'Raw File'!E48, " ")</f>
        <v xml:space="preserve"> </v>
      </c>
      <c r="B48" t="str">
        <f>IF('Raw File'!D48&gt;0,'Raw File'!D48," ")</f>
        <v xml:space="preserve"> </v>
      </c>
      <c r="C48" t="str">
        <f>IF('Raw File'!F48&gt;0,'Raw File'!F48, " ")</f>
        <v xml:space="preserve"> </v>
      </c>
      <c r="D48" s="1" t="str">
        <f>IF('Raw File'!R48&gt;0,'Raw File'!R48, " ")</f>
        <v xml:space="preserve"> </v>
      </c>
      <c r="E48" t="str">
        <f>IF('Raw File'!C48&gt;0, 296, " ")</f>
        <v xml:space="preserve"> </v>
      </c>
      <c r="F48" s="10" t="str">
        <f>IF('Raw File'!C48&gt;0, "5", " ")</f>
        <v xml:space="preserve"> </v>
      </c>
      <c r="G48" t="str">
        <f>IF('Raw File'!C48&gt;0, "X", " ")</f>
        <v xml:space="preserve"> </v>
      </c>
      <c r="H48" t="str">
        <f>IF('Raw File'!N48="H", "S", LEFT('Raw File'!N48, 1))</f>
        <v/>
      </c>
      <c r="J48" t="str">
        <f>IF('Raw File'!J48&gt;0,'Raw File'!J48," ")</f>
        <v xml:space="preserve"> </v>
      </c>
      <c r="L48" t="str">
        <f>IF('Raw File'!M48&gt;0,'Raw File'!M48," ")</f>
        <v xml:space="preserve"> </v>
      </c>
      <c r="M48" t="str">
        <f>IF('Raw File'!K48&gt;0,'Raw File'!K48," ")</f>
        <v xml:space="preserve"> </v>
      </c>
      <c r="N48" t="str">
        <f>IF('Raw File'!L48&gt;0,'Raw File'!L48," ")</f>
        <v xml:space="preserve"> </v>
      </c>
      <c r="U48" t="str">
        <f>IF('Raw File'!Q48&gt;0,'Raw File'!Q48," ")</f>
        <v xml:space="preserve"> </v>
      </c>
      <c r="Y48" t="str">
        <f>IF('Raw File'!C48&gt;0,'Raw File'!C48," ")</f>
        <v xml:space="preserve"> </v>
      </c>
      <c r="Z48" t="str">
        <f>IF('Raw File'!C48&gt;0, "A", " ")</f>
        <v xml:space="preserve"> </v>
      </c>
      <c r="AA48" t="str">
        <f>IF('Raw File'!C48&gt;0, "F", " ")</f>
        <v xml:space="preserve"> </v>
      </c>
      <c r="AB48" t="str">
        <f>IF('Raw File'!H48&gt;0,'Raw File'!H48," ")</f>
        <v xml:space="preserve"> </v>
      </c>
      <c r="AC48" s="11" t="str">
        <f>IF('Raw File'!C48&gt;0,IF(WhatColor('Raw File'!C48)&gt;10,8810,8018)," ")</f>
        <v xml:space="preserve"> </v>
      </c>
      <c r="AD48" s="1" t="str">
        <f>IF('Raw File'!C48&gt;0,'Raw File'!A48," ")</f>
        <v xml:space="preserve"> </v>
      </c>
      <c r="AE48" s="1" t="str">
        <f>IF('Raw File'!C48&gt;0,'Raw File'!A48," ")</f>
        <v xml:space="preserve"> </v>
      </c>
      <c r="AF48" s="1" t="str">
        <f>IF('Raw File'!C48&gt;0,'Raw File'!A48," ")</f>
        <v xml:space="preserve"> </v>
      </c>
      <c r="AG48" t="str">
        <f>IF('Raw File'!C48&gt;0,'Raw File'!C48, " ")</f>
        <v xml:space="preserve"> </v>
      </c>
      <c r="AQ48" t="str">
        <f>IF('Raw File'!G48&gt;0, IF('Raw File'!G48&lt;100, "H", "S"), " ")</f>
        <v xml:space="preserve"> </v>
      </c>
      <c r="AR48" t="str">
        <f>IF('Raw File'!G48&gt;0,'Raw File'!G48," ")</f>
        <v xml:space="preserve"> </v>
      </c>
      <c r="AT48" t="str">
        <f>IF('Raw File'!C48&gt;0,40," ")</f>
        <v xml:space="preserve"> </v>
      </c>
      <c r="AV48" t="str">
        <f>IF('Raw File'!N48= 0, " ", IF('Raw File'!N48="S", "SS", IF( 'Raw File'!N48= "M", "MJ", IF('Raw File'!N48= "H", "H"))))</f>
        <v xml:space="preserve"> </v>
      </c>
      <c r="AW48" s="12"/>
      <c r="AX48" t="str">
        <f>LEFT('Raw File'!P48,1)</f>
        <v/>
      </c>
      <c r="AY48" t="str">
        <f>LEFT('Raw File'!N48,1)</f>
        <v/>
      </c>
      <c r="AZ48">
        <f>IF('Raw File'!O48="exempt",99,IF('Raw File'!O48&gt;0,'Raw File'!O48/2000,IF('Raw File'!O48=0,'Raw File'!O48," ")))</f>
        <v>0</v>
      </c>
      <c r="BA48" t="str">
        <f>LEFT('Raw File'!P48,1)</f>
        <v/>
      </c>
      <c r="BJ48" t="str">
        <f>IF('Raw File'!C48&gt;0,"1"," ")</f>
        <v xml:space="preserve"> </v>
      </c>
      <c r="BX48" t="str">
        <f>IF('Raw File'!C48&gt;0,"WEEKLY"," ")</f>
        <v xml:space="preserve"> </v>
      </c>
      <c r="CA48" t="str">
        <f>IF('Raw File'!C48&gt;0, "N"," ")</f>
        <v xml:space="preserve"> </v>
      </c>
      <c r="CI48" t="str">
        <f>IF('Raw File'!C48&gt;0, "W", " ")</f>
        <v xml:space="preserve"> </v>
      </c>
      <c r="DN48" s="1" t="str">
        <f>IF('Raw File'!C48&gt;0,'Raw File'!A48," ")</f>
        <v xml:space="preserve"> </v>
      </c>
      <c r="GY48">
        <f>IF('Raw File'!O48=" "," ",IF('Raw File'!O48&gt;100,'Raw File'!O48,IF('Raw File'!O48="exempt","99999",IF('Raw File'!O48&lt;100, 'Raw File'!O48*2000, " "))))</f>
        <v>0</v>
      </c>
      <c r="HQ48" t="str">
        <f>IF('Raw File'!C48&gt;0,"1"," ")</f>
        <v xml:space="preserve"> </v>
      </c>
    </row>
    <row r="49" spans="1:225" x14ac:dyDescent="0.35">
      <c r="A49" t="str">
        <f>IF('Raw File'!E49&gt;0,'Raw File'!E49, " ")</f>
        <v xml:space="preserve"> </v>
      </c>
      <c r="B49" t="str">
        <f>IF('Raw File'!D49&gt;0,'Raw File'!D49," ")</f>
        <v xml:space="preserve"> </v>
      </c>
      <c r="C49" t="str">
        <f>IF('Raw File'!F49&gt;0,'Raw File'!F49, " ")</f>
        <v xml:space="preserve"> </v>
      </c>
      <c r="D49" s="1" t="str">
        <f>IF('Raw File'!R49&gt;0,'Raw File'!R49, " ")</f>
        <v xml:space="preserve"> </v>
      </c>
      <c r="E49" t="str">
        <f>IF('Raw File'!C49&gt;0, 296, " ")</f>
        <v xml:space="preserve"> </v>
      </c>
      <c r="F49" s="10" t="str">
        <f>IF('Raw File'!C49&gt;0, "5", " ")</f>
        <v xml:space="preserve"> </v>
      </c>
      <c r="G49" t="str">
        <f>IF('Raw File'!C49&gt;0, "X", " ")</f>
        <v xml:space="preserve"> </v>
      </c>
      <c r="H49" t="str">
        <f>IF('Raw File'!N49="H", "S", LEFT('Raw File'!N49, 1))</f>
        <v/>
      </c>
      <c r="J49" t="str">
        <f>IF('Raw File'!J49&gt;0,'Raw File'!J49," ")</f>
        <v xml:space="preserve"> </v>
      </c>
      <c r="L49" t="str">
        <f>IF('Raw File'!M49&gt;0,'Raw File'!M49," ")</f>
        <v xml:space="preserve"> </v>
      </c>
      <c r="M49" t="str">
        <f>IF('Raw File'!K49&gt;0,'Raw File'!K49," ")</f>
        <v xml:space="preserve"> </v>
      </c>
      <c r="N49" t="str">
        <f>IF('Raw File'!L49&gt;0,'Raw File'!L49," ")</f>
        <v xml:space="preserve"> </v>
      </c>
      <c r="U49" t="str">
        <f>IF('Raw File'!Q49&gt;0,'Raw File'!Q49," ")</f>
        <v xml:space="preserve"> </v>
      </c>
      <c r="Y49" t="str">
        <f>IF('Raw File'!C49&gt;0,'Raw File'!C49," ")</f>
        <v xml:space="preserve"> </v>
      </c>
      <c r="Z49" t="str">
        <f>IF('Raw File'!C49&gt;0, "A", " ")</f>
        <v xml:space="preserve"> </v>
      </c>
      <c r="AA49" t="str">
        <f>IF('Raw File'!C49&gt;0, "F", " ")</f>
        <v xml:space="preserve"> </v>
      </c>
      <c r="AB49" t="str">
        <f>IF('Raw File'!H49&gt;0,'Raw File'!H49," ")</f>
        <v xml:space="preserve"> </v>
      </c>
      <c r="AC49" s="11" t="str">
        <f>IF('Raw File'!C49&gt;0,IF(WhatColor('Raw File'!C49)&gt;10,8810,8018)," ")</f>
        <v xml:space="preserve"> </v>
      </c>
      <c r="AD49" s="1" t="str">
        <f>IF('Raw File'!C49&gt;0,'Raw File'!A49," ")</f>
        <v xml:space="preserve"> </v>
      </c>
      <c r="AE49" s="1" t="str">
        <f>IF('Raw File'!C49&gt;0,'Raw File'!A49," ")</f>
        <v xml:space="preserve"> </v>
      </c>
      <c r="AF49" s="1" t="str">
        <f>IF('Raw File'!C49&gt;0,'Raw File'!A49," ")</f>
        <v xml:space="preserve"> </v>
      </c>
      <c r="AG49" t="str">
        <f>IF('Raw File'!C49&gt;0,'Raw File'!C49, " ")</f>
        <v xml:space="preserve"> </v>
      </c>
      <c r="AQ49" t="str">
        <f>IF('Raw File'!G49&gt;0, IF('Raw File'!G49&lt;100, "H", "S"), " ")</f>
        <v xml:space="preserve"> </v>
      </c>
      <c r="AR49" t="str">
        <f>IF('Raw File'!G49&gt;0,'Raw File'!G49," ")</f>
        <v xml:space="preserve"> </v>
      </c>
      <c r="AT49" t="str">
        <f>IF('Raw File'!C49&gt;0,40," ")</f>
        <v xml:space="preserve"> </v>
      </c>
      <c r="AV49" t="str">
        <f>IF('Raw File'!N49= 0, " ", IF('Raw File'!N49="S", "SS", IF( 'Raw File'!N49= "M", "MJ", IF('Raw File'!N49= "H", "H"))))</f>
        <v xml:space="preserve"> </v>
      </c>
      <c r="AW49" s="12"/>
      <c r="AX49" t="str">
        <f>LEFT('Raw File'!P49,1)</f>
        <v/>
      </c>
      <c r="AY49" t="str">
        <f>LEFT('Raw File'!N49,1)</f>
        <v/>
      </c>
      <c r="AZ49">
        <f>IF('Raw File'!O49="exempt",99,IF('Raw File'!O49&gt;0,'Raw File'!O49/2000,IF('Raw File'!O49=0,'Raw File'!O49," ")))</f>
        <v>0</v>
      </c>
      <c r="BA49" t="str">
        <f>LEFT('Raw File'!P49,1)</f>
        <v/>
      </c>
      <c r="BJ49" t="str">
        <f>IF('Raw File'!C49&gt;0,"1"," ")</f>
        <v xml:space="preserve"> </v>
      </c>
      <c r="BX49" t="str">
        <f>IF('Raw File'!C49&gt;0,"WEEKLY"," ")</f>
        <v xml:space="preserve"> </v>
      </c>
      <c r="CA49" t="str">
        <f>IF('Raw File'!C49&gt;0, "N"," ")</f>
        <v xml:space="preserve"> </v>
      </c>
      <c r="CI49" t="str">
        <f>IF('Raw File'!C49&gt;0, "W", " ")</f>
        <v xml:space="preserve"> </v>
      </c>
      <c r="DN49" s="1" t="str">
        <f>IF('Raw File'!C49&gt;0,'Raw File'!A49," ")</f>
        <v xml:space="preserve"> </v>
      </c>
      <c r="GY49">
        <f>IF('Raw File'!O49=" "," ",IF('Raw File'!O49&gt;100,'Raw File'!O49,IF('Raw File'!O49="exempt","99999",IF('Raw File'!O49&lt;100, 'Raw File'!O49*2000, " "))))</f>
        <v>0</v>
      </c>
      <c r="HQ49" t="str">
        <f>IF('Raw File'!C49&gt;0,"1"," ")</f>
        <v xml:space="preserve"> </v>
      </c>
    </row>
    <row r="50" spans="1:225" x14ac:dyDescent="0.35">
      <c r="A50" t="str">
        <f>IF('Raw File'!E50&gt;0,'Raw File'!E50, " ")</f>
        <v xml:space="preserve"> </v>
      </c>
      <c r="B50" t="str">
        <f>IF('Raw File'!D50&gt;0,'Raw File'!D50," ")</f>
        <v xml:space="preserve"> </v>
      </c>
      <c r="C50" t="str">
        <f>IF('Raw File'!F50&gt;0,'Raw File'!F50, " ")</f>
        <v xml:space="preserve"> </v>
      </c>
      <c r="D50" s="1" t="str">
        <f>IF('Raw File'!R50&gt;0,'Raw File'!R50, " ")</f>
        <v xml:space="preserve"> </v>
      </c>
      <c r="E50" t="str">
        <f>IF('Raw File'!C50&gt;0, 296, " ")</f>
        <v xml:space="preserve"> </v>
      </c>
      <c r="F50" s="10" t="str">
        <f>IF('Raw File'!C50&gt;0, "5", " ")</f>
        <v xml:space="preserve"> </v>
      </c>
      <c r="G50" t="str">
        <f>IF('Raw File'!C50&gt;0, "X", " ")</f>
        <v xml:space="preserve"> </v>
      </c>
      <c r="H50" t="str">
        <f>IF('Raw File'!N50="H", "S", LEFT('Raw File'!N50, 1))</f>
        <v/>
      </c>
      <c r="J50" t="str">
        <f>IF('Raw File'!J50&gt;0,'Raw File'!J50," ")</f>
        <v xml:space="preserve"> </v>
      </c>
      <c r="L50" t="str">
        <f>IF('Raw File'!M50&gt;0,'Raw File'!M50," ")</f>
        <v xml:space="preserve"> </v>
      </c>
      <c r="M50" t="str">
        <f>IF('Raw File'!K50&gt;0,'Raw File'!K50," ")</f>
        <v xml:space="preserve"> </v>
      </c>
      <c r="N50" t="str">
        <f>IF('Raw File'!L50&gt;0,'Raw File'!L50," ")</f>
        <v xml:space="preserve"> </v>
      </c>
      <c r="U50" t="str">
        <f>IF('Raw File'!Q50&gt;0,'Raw File'!Q50," ")</f>
        <v xml:space="preserve"> </v>
      </c>
      <c r="Y50" t="str">
        <f>IF('Raw File'!C50&gt;0,'Raw File'!C50," ")</f>
        <v xml:space="preserve"> </v>
      </c>
      <c r="Z50" t="str">
        <f>IF('Raw File'!C50&gt;0, "A", " ")</f>
        <v xml:space="preserve"> </v>
      </c>
      <c r="AA50" t="str">
        <f>IF('Raw File'!C50&gt;0, "F", " ")</f>
        <v xml:space="preserve"> </v>
      </c>
      <c r="AB50" t="str">
        <f>IF('Raw File'!H50&gt;0,'Raw File'!H50," ")</f>
        <v xml:space="preserve"> </v>
      </c>
      <c r="AC50" s="11" t="str">
        <f>IF('Raw File'!C50&gt;0,IF(WhatColor('Raw File'!C50)&gt;10,8810,8018)," ")</f>
        <v xml:space="preserve"> </v>
      </c>
      <c r="AD50" s="1" t="str">
        <f>IF('Raw File'!C50&gt;0,'Raw File'!A50," ")</f>
        <v xml:space="preserve"> </v>
      </c>
      <c r="AE50" s="1" t="str">
        <f>IF('Raw File'!C50&gt;0,'Raw File'!A50," ")</f>
        <v xml:space="preserve"> </v>
      </c>
      <c r="AF50" s="1" t="str">
        <f>IF('Raw File'!C50&gt;0,'Raw File'!A50," ")</f>
        <v xml:space="preserve"> </v>
      </c>
      <c r="AG50" t="str">
        <f>IF('Raw File'!C50&gt;0,'Raw File'!C50, " ")</f>
        <v xml:space="preserve"> </v>
      </c>
      <c r="AQ50" t="str">
        <f>IF('Raw File'!G50&gt;0, IF('Raw File'!G50&lt;100, "H", "S"), " ")</f>
        <v xml:space="preserve"> </v>
      </c>
      <c r="AR50" t="str">
        <f>IF('Raw File'!G50&gt;0,'Raw File'!G50," ")</f>
        <v xml:space="preserve"> </v>
      </c>
      <c r="AT50" t="str">
        <f>IF('Raw File'!C50&gt;0,40," ")</f>
        <v xml:space="preserve"> </v>
      </c>
      <c r="AV50" t="str">
        <f>IF('Raw File'!N50= 0, " ", IF('Raw File'!N50="S", "SS", IF( 'Raw File'!N50= "M", "MJ", IF('Raw File'!N50= "H", "H"))))</f>
        <v xml:space="preserve"> </v>
      </c>
      <c r="AW50" s="12"/>
      <c r="AX50" t="str">
        <f>LEFT('Raw File'!P50,1)</f>
        <v/>
      </c>
      <c r="AY50" t="str">
        <f>LEFT('Raw File'!N50,1)</f>
        <v/>
      </c>
      <c r="AZ50">
        <f>IF('Raw File'!O50="exempt",99,IF('Raw File'!O50&gt;0,'Raw File'!O50/2000,IF('Raw File'!O50=0,'Raw File'!O50," ")))</f>
        <v>0</v>
      </c>
      <c r="BA50" t="str">
        <f>LEFT('Raw File'!P50,1)</f>
        <v/>
      </c>
      <c r="BJ50" t="str">
        <f>IF('Raw File'!C50&gt;0,"1"," ")</f>
        <v xml:space="preserve"> </v>
      </c>
      <c r="BX50" t="str">
        <f>IF('Raw File'!C50&gt;0,"WEEKLY"," ")</f>
        <v xml:space="preserve"> </v>
      </c>
      <c r="CA50" t="str">
        <f>IF('Raw File'!C50&gt;0, "N"," ")</f>
        <v xml:space="preserve"> </v>
      </c>
      <c r="CI50" t="str">
        <f>IF('Raw File'!C50&gt;0, "W", " ")</f>
        <v xml:space="preserve"> </v>
      </c>
      <c r="DN50" s="1" t="str">
        <f>IF('Raw File'!C50&gt;0,'Raw File'!A50," ")</f>
        <v xml:space="preserve"> </v>
      </c>
      <c r="GY50">
        <f>IF('Raw File'!O50=" "," ",IF('Raw File'!O50&gt;100,'Raw File'!O50,IF('Raw File'!O50="exempt","99999",IF('Raw File'!O50&lt;100, 'Raw File'!O50*2000, " "))))</f>
        <v>0</v>
      </c>
      <c r="HQ50" t="str">
        <f>IF('Raw File'!C50&gt;0,"1"," ")</f>
        <v xml:space="preserve"> </v>
      </c>
    </row>
    <row r="51" spans="1:225" x14ac:dyDescent="0.35">
      <c r="A51" t="str">
        <f>IF('Raw File'!E51&gt;0,'Raw File'!E51, " ")</f>
        <v xml:space="preserve"> </v>
      </c>
      <c r="B51" t="str">
        <f>IF('Raw File'!D51&gt;0,'Raw File'!D51," ")</f>
        <v xml:space="preserve"> </v>
      </c>
      <c r="C51" t="str">
        <f>IF('Raw File'!F51&gt;0,'Raw File'!F51, " ")</f>
        <v xml:space="preserve"> </v>
      </c>
      <c r="D51" s="1" t="str">
        <f>IF('Raw File'!R51&gt;0,'Raw File'!R51, " ")</f>
        <v xml:space="preserve"> </v>
      </c>
      <c r="E51" t="str">
        <f>IF('Raw File'!C51&gt;0, 296, " ")</f>
        <v xml:space="preserve"> </v>
      </c>
      <c r="F51" s="10" t="str">
        <f>IF('Raw File'!C51&gt;0, "5", " ")</f>
        <v xml:space="preserve"> </v>
      </c>
      <c r="G51" t="str">
        <f>IF('Raw File'!C51&gt;0, "X", " ")</f>
        <v xml:space="preserve"> </v>
      </c>
      <c r="H51" t="str">
        <f>IF('Raw File'!N51="H", "S", LEFT('Raw File'!N51, 1))</f>
        <v/>
      </c>
      <c r="J51" t="str">
        <f>IF('Raw File'!J51&gt;0,'Raw File'!J51," ")</f>
        <v xml:space="preserve"> </v>
      </c>
      <c r="L51" t="str">
        <f>IF('Raw File'!M51&gt;0,'Raw File'!M51," ")</f>
        <v xml:space="preserve"> </v>
      </c>
      <c r="M51" t="str">
        <f>IF('Raw File'!K51&gt;0,'Raw File'!K51," ")</f>
        <v xml:space="preserve"> </v>
      </c>
      <c r="N51" t="str">
        <f>IF('Raw File'!L51&gt;0,'Raw File'!L51," ")</f>
        <v xml:space="preserve"> </v>
      </c>
      <c r="U51" t="str">
        <f>IF('Raw File'!Q51&gt;0,'Raw File'!Q51," ")</f>
        <v xml:space="preserve"> </v>
      </c>
      <c r="Y51" t="str">
        <f>IF('Raw File'!C51&gt;0,'Raw File'!C51," ")</f>
        <v xml:space="preserve"> </v>
      </c>
      <c r="Z51" t="str">
        <f>IF('Raw File'!C51&gt;0, "A", " ")</f>
        <v xml:space="preserve"> </v>
      </c>
      <c r="AA51" t="str">
        <f>IF('Raw File'!C51&gt;0, "F", " ")</f>
        <v xml:space="preserve"> </v>
      </c>
      <c r="AB51" t="str">
        <f>IF('Raw File'!H51&gt;0,'Raw File'!H51," ")</f>
        <v xml:space="preserve"> </v>
      </c>
      <c r="AC51" s="11" t="str">
        <f>IF('Raw File'!C51&gt;0,IF(WhatColor('Raw File'!C51)&gt;10,8810,8018)," ")</f>
        <v xml:space="preserve"> </v>
      </c>
      <c r="AD51" s="1" t="str">
        <f>IF('Raw File'!C51&gt;0,'Raw File'!A51," ")</f>
        <v xml:space="preserve"> </v>
      </c>
      <c r="AE51" s="1" t="str">
        <f>IF('Raw File'!C51&gt;0,'Raw File'!A51," ")</f>
        <v xml:space="preserve"> </v>
      </c>
      <c r="AF51" s="1" t="str">
        <f>IF('Raw File'!C51&gt;0,'Raw File'!A51," ")</f>
        <v xml:space="preserve"> </v>
      </c>
      <c r="AG51" t="str">
        <f>IF('Raw File'!C51&gt;0,'Raw File'!C51, " ")</f>
        <v xml:space="preserve"> </v>
      </c>
      <c r="AQ51" t="str">
        <f>IF('Raw File'!G51&gt;0, IF('Raw File'!G51&lt;100, "H", "S"), " ")</f>
        <v xml:space="preserve"> </v>
      </c>
      <c r="AR51" t="str">
        <f>IF('Raw File'!G51&gt;0,'Raw File'!G51," ")</f>
        <v xml:space="preserve"> </v>
      </c>
      <c r="AT51" t="str">
        <f>IF('Raw File'!C51&gt;0,40," ")</f>
        <v xml:space="preserve"> </v>
      </c>
      <c r="AV51" t="str">
        <f>IF('Raw File'!N51= 0, " ", IF('Raw File'!N51="S", "SS", IF( 'Raw File'!N51= "M", "MJ", IF('Raw File'!N51= "H", "H"))))</f>
        <v xml:space="preserve"> </v>
      </c>
      <c r="AW51" s="12"/>
      <c r="AX51" t="str">
        <f>LEFT('Raw File'!P51,1)</f>
        <v/>
      </c>
      <c r="AY51" t="str">
        <f>LEFT('Raw File'!N51,1)</f>
        <v/>
      </c>
      <c r="AZ51">
        <f>IF('Raw File'!O51="exempt",99,IF('Raw File'!O51&gt;0,'Raw File'!O51/2000,IF('Raw File'!O51=0,'Raw File'!O51," ")))</f>
        <v>0</v>
      </c>
      <c r="BA51" t="str">
        <f>LEFT('Raw File'!P51,1)</f>
        <v/>
      </c>
      <c r="BJ51" t="str">
        <f>IF('Raw File'!C51&gt;0,"1"," ")</f>
        <v xml:space="preserve"> </v>
      </c>
      <c r="BX51" t="str">
        <f>IF('Raw File'!C51&gt;0,"WEEKLY"," ")</f>
        <v xml:space="preserve"> </v>
      </c>
      <c r="CA51" t="str">
        <f>IF('Raw File'!C51&gt;0, "N"," ")</f>
        <v xml:space="preserve"> </v>
      </c>
      <c r="CI51" t="str">
        <f>IF('Raw File'!C51&gt;0, "W", " ")</f>
        <v xml:space="preserve"> </v>
      </c>
      <c r="DN51" s="1" t="str">
        <f>IF('Raw File'!C51&gt;0,'Raw File'!A51," ")</f>
        <v xml:space="preserve"> </v>
      </c>
      <c r="GY51">
        <f>IF('Raw File'!O51=" "," ",IF('Raw File'!O51&gt;100,'Raw File'!O51,IF('Raw File'!O51="exempt","99999",IF('Raw File'!O51&lt;100, 'Raw File'!O51*2000, " "))))</f>
        <v>0</v>
      </c>
      <c r="HQ51" t="str">
        <f>IF('Raw File'!C51&gt;0,"1"," ")</f>
        <v xml:space="preserve"> </v>
      </c>
    </row>
    <row r="52" spans="1:225" x14ac:dyDescent="0.35">
      <c r="A52" t="str">
        <f>IF('Raw File'!E52&gt;0,'Raw File'!E52, " ")</f>
        <v xml:space="preserve"> </v>
      </c>
      <c r="B52" t="str">
        <f>IF('Raw File'!D52&gt;0,'Raw File'!D52," ")</f>
        <v xml:space="preserve"> </v>
      </c>
      <c r="C52" t="str">
        <f>IF('Raw File'!F52&gt;0,'Raw File'!F52, " ")</f>
        <v xml:space="preserve"> </v>
      </c>
      <c r="D52" s="1" t="str">
        <f>IF('Raw File'!R52&gt;0,'Raw File'!R52, " ")</f>
        <v xml:space="preserve"> </v>
      </c>
      <c r="E52" t="str">
        <f>IF('Raw File'!C52&gt;0, 296, " ")</f>
        <v xml:space="preserve"> </v>
      </c>
      <c r="F52" s="10" t="str">
        <f>IF('Raw File'!C52&gt;0, "5", " ")</f>
        <v xml:space="preserve"> </v>
      </c>
      <c r="G52" t="str">
        <f>IF('Raw File'!C52&gt;0, "X", " ")</f>
        <v xml:space="preserve"> </v>
      </c>
      <c r="H52" t="str">
        <f>IF('Raw File'!N52="H", "S", LEFT('Raw File'!N52, 1))</f>
        <v/>
      </c>
      <c r="J52" t="str">
        <f>IF('Raw File'!J52&gt;0,'Raw File'!J52," ")</f>
        <v xml:space="preserve"> </v>
      </c>
      <c r="L52" t="str">
        <f>IF('Raw File'!M52&gt;0,'Raw File'!M52," ")</f>
        <v xml:space="preserve"> </v>
      </c>
      <c r="M52" t="str">
        <f>IF('Raw File'!K52&gt;0,'Raw File'!K52," ")</f>
        <v xml:space="preserve"> </v>
      </c>
      <c r="N52" t="str">
        <f>IF('Raw File'!L52&gt;0,'Raw File'!L52," ")</f>
        <v xml:space="preserve"> </v>
      </c>
      <c r="U52" t="str">
        <f>IF('Raw File'!Q52&gt;0,'Raw File'!Q52," ")</f>
        <v xml:space="preserve"> </v>
      </c>
      <c r="Y52" t="str">
        <f>IF('Raw File'!C52&gt;0,'Raw File'!C52," ")</f>
        <v xml:space="preserve"> </v>
      </c>
      <c r="Z52" t="str">
        <f>IF('Raw File'!C52&gt;0, "A", " ")</f>
        <v xml:space="preserve"> </v>
      </c>
      <c r="AA52" t="str">
        <f>IF('Raw File'!C52&gt;0, "F", " ")</f>
        <v xml:space="preserve"> </v>
      </c>
      <c r="AB52" t="str">
        <f>IF('Raw File'!H52&gt;0,'Raw File'!H52," ")</f>
        <v xml:space="preserve"> </v>
      </c>
      <c r="AC52" s="11" t="str">
        <f>IF('Raw File'!C52&gt;0,IF(WhatColor('Raw File'!C52)&gt;10,8810,8018)," ")</f>
        <v xml:space="preserve"> </v>
      </c>
      <c r="AD52" s="1" t="str">
        <f>IF('Raw File'!C52&gt;0,'Raw File'!A52," ")</f>
        <v xml:space="preserve"> </v>
      </c>
      <c r="AE52" s="1" t="str">
        <f>IF('Raw File'!C52&gt;0,'Raw File'!A52," ")</f>
        <v xml:space="preserve"> </v>
      </c>
      <c r="AF52" s="1" t="str">
        <f>IF('Raw File'!C52&gt;0,'Raw File'!A52," ")</f>
        <v xml:space="preserve"> </v>
      </c>
      <c r="AG52" t="str">
        <f>IF('Raw File'!C52&gt;0,'Raw File'!C52, " ")</f>
        <v xml:space="preserve"> </v>
      </c>
      <c r="AQ52" t="str">
        <f>IF('Raw File'!G52&gt;0, IF('Raw File'!G52&lt;100, "H", "S"), " ")</f>
        <v xml:space="preserve"> </v>
      </c>
      <c r="AR52" t="str">
        <f>IF('Raw File'!G52&gt;0,'Raw File'!G52," ")</f>
        <v xml:space="preserve"> </v>
      </c>
      <c r="AT52" t="str">
        <f>IF('Raw File'!C52&gt;0,40," ")</f>
        <v xml:space="preserve"> </v>
      </c>
      <c r="AV52" t="str">
        <f>IF('Raw File'!N52= 0, " ", IF('Raw File'!N52="S", "SS", IF( 'Raw File'!N52= "M", "MJ", IF('Raw File'!N52= "H", "H"))))</f>
        <v xml:space="preserve"> </v>
      </c>
      <c r="AW52" s="12"/>
      <c r="AX52" t="str">
        <f>LEFT('Raw File'!P52,1)</f>
        <v/>
      </c>
      <c r="AY52" t="str">
        <f>LEFT('Raw File'!N52,1)</f>
        <v/>
      </c>
      <c r="AZ52">
        <f>IF('Raw File'!O52="exempt",99,IF('Raw File'!O52&gt;0,'Raw File'!O52/2000,IF('Raw File'!O52=0,'Raw File'!O52," ")))</f>
        <v>0</v>
      </c>
      <c r="BA52" t="str">
        <f>LEFT('Raw File'!P52,1)</f>
        <v/>
      </c>
      <c r="BJ52" t="str">
        <f>IF('Raw File'!C52&gt;0,"1"," ")</f>
        <v xml:space="preserve"> </v>
      </c>
      <c r="BX52" t="str">
        <f>IF('Raw File'!C52&gt;0,"WEEKLY"," ")</f>
        <v xml:space="preserve"> </v>
      </c>
      <c r="CA52" t="str">
        <f>IF('Raw File'!C52&gt;0, "N"," ")</f>
        <v xml:space="preserve"> </v>
      </c>
      <c r="CI52" t="str">
        <f>IF('Raw File'!C52&gt;0, "W", " ")</f>
        <v xml:space="preserve"> </v>
      </c>
      <c r="DN52" s="1" t="str">
        <f>IF('Raw File'!C52&gt;0,'Raw File'!A52," ")</f>
        <v xml:space="preserve"> </v>
      </c>
      <c r="GY52">
        <f>IF('Raw File'!O52=" "," ",IF('Raw File'!O52&gt;100,'Raw File'!O52,IF('Raw File'!O52="exempt","99999",IF('Raw File'!O52&lt;100, 'Raw File'!O52*2000, " "))))</f>
        <v>0</v>
      </c>
      <c r="HQ52" t="str">
        <f>IF('Raw File'!C52&gt;0,"1"," ")</f>
        <v xml:space="preserve"> </v>
      </c>
    </row>
    <row r="53" spans="1:225" x14ac:dyDescent="0.35">
      <c r="A53" t="str">
        <f>IF('Raw File'!E53&gt;0,'Raw File'!E53, " ")</f>
        <v xml:space="preserve"> </v>
      </c>
      <c r="B53" t="str">
        <f>IF('Raw File'!D53&gt;0,'Raw File'!D53," ")</f>
        <v xml:space="preserve"> </v>
      </c>
      <c r="C53" t="str">
        <f>IF('Raw File'!F53&gt;0,'Raw File'!F53, " ")</f>
        <v xml:space="preserve"> </v>
      </c>
      <c r="D53" s="1" t="str">
        <f>IF('Raw File'!R53&gt;0,'Raw File'!R53, " ")</f>
        <v xml:space="preserve"> </v>
      </c>
      <c r="E53" t="str">
        <f>IF('Raw File'!C53&gt;0, 296, " ")</f>
        <v xml:space="preserve"> </v>
      </c>
      <c r="F53" s="10" t="str">
        <f>IF('Raw File'!C53&gt;0, "5", " ")</f>
        <v xml:space="preserve"> </v>
      </c>
      <c r="G53" t="str">
        <f>IF('Raw File'!C53&gt;0, "X", " ")</f>
        <v xml:space="preserve"> </v>
      </c>
      <c r="H53" t="str">
        <f>IF('Raw File'!N53="H", "S", LEFT('Raw File'!N53, 1))</f>
        <v/>
      </c>
      <c r="J53" t="str">
        <f>IF('Raw File'!J53&gt;0,'Raw File'!J53," ")</f>
        <v xml:space="preserve"> </v>
      </c>
      <c r="L53" t="str">
        <f>IF('Raw File'!M53&gt;0,'Raw File'!M53," ")</f>
        <v xml:space="preserve"> </v>
      </c>
      <c r="M53" t="str">
        <f>IF('Raw File'!K53&gt;0,'Raw File'!K53," ")</f>
        <v xml:space="preserve"> </v>
      </c>
      <c r="N53" t="str">
        <f>IF('Raw File'!L53&gt;0,'Raw File'!L53," ")</f>
        <v xml:space="preserve"> </v>
      </c>
      <c r="U53" t="str">
        <f>IF('Raw File'!Q53&gt;0,'Raw File'!Q53," ")</f>
        <v xml:space="preserve"> </v>
      </c>
      <c r="Y53" t="str">
        <f>IF('Raw File'!C53&gt;0,'Raw File'!C53," ")</f>
        <v xml:space="preserve"> </v>
      </c>
      <c r="Z53" t="str">
        <f>IF('Raw File'!C53&gt;0, "A", " ")</f>
        <v xml:space="preserve"> </v>
      </c>
      <c r="AA53" t="str">
        <f>IF('Raw File'!C53&gt;0, "F", " ")</f>
        <v xml:space="preserve"> </v>
      </c>
      <c r="AB53" t="str">
        <f>IF('Raw File'!H53&gt;0,'Raw File'!H53," ")</f>
        <v xml:space="preserve"> </v>
      </c>
      <c r="AC53" s="11" t="str">
        <f>IF('Raw File'!C53&gt;0,IF(WhatColor('Raw File'!C53)&gt;10,8810,8018)," ")</f>
        <v xml:space="preserve"> </v>
      </c>
      <c r="AD53" s="1" t="str">
        <f>IF('Raw File'!C53&gt;0,'Raw File'!A53," ")</f>
        <v xml:space="preserve"> </v>
      </c>
      <c r="AE53" s="1" t="str">
        <f>IF('Raw File'!C53&gt;0,'Raw File'!A53," ")</f>
        <v xml:space="preserve"> </v>
      </c>
      <c r="AF53" s="1" t="str">
        <f>IF('Raw File'!C53&gt;0,'Raw File'!A53," ")</f>
        <v xml:space="preserve"> </v>
      </c>
      <c r="AG53" t="str">
        <f>IF('Raw File'!C53&gt;0,'Raw File'!C53, " ")</f>
        <v xml:space="preserve"> </v>
      </c>
      <c r="AQ53" t="str">
        <f>IF('Raw File'!G53&gt;0, IF('Raw File'!G53&lt;100, "H", "S"), " ")</f>
        <v xml:space="preserve"> </v>
      </c>
      <c r="AR53" t="str">
        <f>IF('Raw File'!G53&gt;0,'Raw File'!G53," ")</f>
        <v xml:space="preserve"> </v>
      </c>
      <c r="AT53" t="str">
        <f>IF('Raw File'!C53&gt;0,40," ")</f>
        <v xml:space="preserve"> </v>
      </c>
      <c r="AV53" t="str">
        <f>IF('Raw File'!N53= 0, " ", IF('Raw File'!N53="S", "SS", IF( 'Raw File'!N53= "M", "MJ", IF('Raw File'!N53= "H", "H"))))</f>
        <v xml:space="preserve"> </v>
      </c>
      <c r="AW53" s="12"/>
      <c r="AX53" t="str">
        <f>LEFT('Raw File'!P53,1)</f>
        <v/>
      </c>
      <c r="AY53" t="str">
        <f>LEFT('Raw File'!N53,1)</f>
        <v/>
      </c>
      <c r="AZ53">
        <f>IF('Raw File'!O53="exempt",99,IF('Raw File'!O53&gt;0,'Raw File'!O53/2000,IF('Raw File'!O53=0,'Raw File'!O53," ")))</f>
        <v>0</v>
      </c>
      <c r="BA53" t="str">
        <f>LEFT('Raw File'!P53,1)</f>
        <v/>
      </c>
      <c r="BJ53" t="str">
        <f>IF('Raw File'!C53&gt;0,"1"," ")</f>
        <v xml:space="preserve"> </v>
      </c>
      <c r="BX53" t="str">
        <f>IF('Raw File'!C53&gt;0,"WEEKLY"," ")</f>
        <v xml:space="preserve"> </v>
      </c>
      <c r="CA53" t="str">
        <f>IF('Raw File'!C53&gt;0, "N"," ")</f>
        <v xml:space="preserve"> </v>
      </c>
      <c r="CI53" t="str">
        <f>IF('Raw File'!C53&gt;0, "W", " ")</f>
        <v xml:space="preserve"> </v>
      </c>
      <c r="DN53" s="1" t="str">
        <f>IF('Raw File'!C53&gt;0,'Raw File'!A53," ")</f>
        <v xml:space="preserve"> </v>
      </c>
      <c r="GY53">
        <f>IF('Raw File'!O53=" "," ",IF('Raw File'!O53&gt;100,'Raw File'!O53,IF('Raw File'!O53="exempt","99999",IF('Raw File'!O53&lt;100, 'Raw File'!O53*2000, " "))))</f>
        <v>0</v>
      </c>
      <c r="HQ53" t="str">
        <f>IF('Raw File'!C53&gt;0,"1"," ")</f>
        <v xml:space="preserve"> </v>
      </c>
    </row>
    <row r="54" spans="1:225" x14ac:dyDescent="0.35">
      <c r="A54" t="str">
        <f>IF('Raw File'!E54&gt;0,'Raw File'!E54, " ")</f>
        <v xml:space="preserve"> </v>
      </c>
      <c r="B54" t="str">
        <f>IF('Raw File'!D54&gt;0,'Raw File'!D54," ")</f>
        <v xml:space="preserve"> </v>
      </c>
      <c r="C54" t="str">
        <f>IF('Raw File'!F54&gt;0,'Raw File'!F54, " ")</f>
        <v xml:space="preserve"> </v>
      </c>
      <c r="D54" s="1" t="str">
        <f>IF('Raw File'!R54&gt;0,'Raw File'!R54, " ")</f>
        <v xml:space="preserve"> </v>
      </c>
      <c r="E54" t="str">
        <f>IF('Raw File'!C54&gt;0, 296, " ")</f>
        <v xml:space="preserve"> </v>
      </c>
      <c r="F54" s="10" t="str">
        <f>IF('Raw File'!C54&gt;0, "5", " ")</f>
        <v xml:space="preserve"> </v>
      </c>
      <c r="G54" t="str">
        <f>IF('Raw File'!C54&gt;0, "X", " ")</f>
        <v xml:space="preserve"> </v>
      </c>
      <c r="H54" t="str">
        <f>IF('Raw File'!N54="H", "S", LEFT('Raw File'!N54, 1))</f>
        <v/>
      </c>
      <c r="J54" t="str">
        <f>IF('Raw File'!J54&gt;0,'Raw File'!J54," ")</f>
        <v xml:space="preserve"> </v>
      </c>
      <c r="L54" t="str">
        <f>IF('Raw File'!M54&gt;0,'Raw File'!M54," ")</f>
        <v xml:space="preserve"> </v>
      </c>
      <c r="M54" t="str">
        <f>IF('Raw File'!K54&gt;0,'Raw File'!K54," ")</f>
        <v xml:space="preserve"> </v>
      </c>
      <c r="N54" t="str">
        <f>IF('Raw File'!L54&gt;0,'Raw File'!L54," ")</f>
        <v xml:space="preserve"> </v>
      </c>
      <c r="U54" t="str">
        <f>IF('Raw File'!Q54&gt;0,'Raw File'!Q54," ")</f>
        <v xml:space="preserve"> </v>
      </c>
      <c r="Y54" t="str">
        <f>IF('Raw File'!C54&gt;0,'Raw File'!C54," ")</f>
        <v xml:space="preserve"> </v>
      </c>
      <c r="Z54" t="str">
        <f>IF('Raw File'!C54&gt;0, "A", " ")</f>
        <v xml:space="preserve"> </v>
      </c>
      <c r="AA54" t="str">
        <f>IF('Raw File'!C54&gt;0, "F", " ")</f>
        <v xml:space="preserve"> </v>
      </c>
      <c r="AB54" t="str">
        <f>IF('Raw File'!H54&gt;0,'Raw File'!H54," ")</f>
        <v xml:space="preserve"> </v>
      </c>
      <c r="AC54" s="11" t="str">
        <f>IF('Raw File'!C54&gt;0,IF(WhatColor('Raw File'!C54)&gt;10,8810,8018)," ")</f>
        <v xml:space="preserve"> </v>
      </c>
      <c r="AD54" s="1" t="str">
        <f>IF('Raw File'!C54&gt;0,'Raw File'!A54," ")</f>
        <v xml:space="preserve"> </v>
      </c>
      <c r="AE54" s="1" t="str">
        <f>IF('Raw File'!C54&gt;0,'Raw File'!A54," ")</f>
        <v xml:space="preserve"> </v>
      </c>
      <c r="AF54" s="1" t="str">
        <f>IF('Raw File'!C54&gt;0,'Raw File'!A54," ")</f>
        <v xml:space="preserve"> </v>
      </c>
      <c r="AG54" t="str">
        <f>IF('Raw File'!C54&gt;0,'Raw File'!C54, " ")</f>
        <v xml:space="preserve"> </v>
      </c>
      <c r="AQ54" t="str">
        <f>IF('Raw File'!G54&gt;0, IF('Raw File'!G54&lt;100, "H", "S"), " ")</f>
        <v xml:space="preserve"> </v>
      </c>
      <c r="AR54" t="str">
        <f>IF('Raw File'!G54&gt;0,'Raw File'!G54," ")</f>
        <v xml:space="preserve"> </v>
      </c>
      <c r="AT54" t="str">
        <f>IF('Raw File'!C54&gt;0,40," ")</f>
        <v xml:space="preserve"> </v>
      </c>
      <c r="AV54" t="str">
        <f>IF('Raw File'!N54= 0, " ", IF('Raw File'!N54="S", "SS", IF( 'Raw File'!N54= "M", "MJ", IF('Raw File'!N54= "H", "H"))))</f>
        <v xml:space="preserve"> </v>
      </c>
      <c r="AW54" s="12"/>
      <c r="AX54" t="str">
        <f>LEFT('Raw File'!P54,1)</f>
        <v/>
      </c>
      <c r="AY54" t="str">
        <f>LEFT('Raw File'!N54,1)</f>
        <v/>
      </c>
      <c r="AZ54">
        <f>IF('Raw File'!O54="exempt",99,IF('Raw File'!O54&gt;0,'Raw File'!O54/2000,IF('Raw File'!O54=0,'Raw File'!O54," ")))</f>
        <v>0</v>
      </c>
      <c r="BA54" t="str">
        <f>LEFT('Raw File'!P54,1)</f>
        <v/>
      </c>
      <c r="BJ54" t="str">
        <f>IF('Raw File'!C54&gt;0,"1"," ")</f>
        <v xml:space="preserve"> </v>
      </c>
      <c r="BX54" t="str">
        <f>IF('Raw File'!C54&gt;0,"WEEKLY"," ")</f>
        <v xml:space="preserve"> </v>
      </c>
      <c r="CA54" t="str">
        <f>IF('Raw File'!C54&gt;0, "N"," ")</f>
        <v xml:space="preserve"> </v>
      </c>
      <c r="CI54" t="str">
        <f>IF('Raw File'!C54&gt;0, "W", " ")</f>
        <v xml:space="preserve"> </v>
      </c>
      <c r="DN54" s="1" t="str">
        <f>IF('Raw File'!C54&gt;0,'Raw File'!A54," ")</f>
        <v xml:space="preserve"> </v>
      </c>
      <c r="GY54">
        <f>IF('Raw File'!O54=" "," ",IF('Raw File'!O54&gt;100,'Raw File'!O54,IF('Raw File'!O54="exempt","99999",IF('Raw File'!O54&lt;100, 'Raw File'!O54*2000, " "))))</f>
        <v>0</v>
      </c>
      <c r="HQ54" t="str">
        <f>IF('Raw File'!C54&gt;0,"1"," ")</f>
        <v xml:space="preserve"> </v>
      </c>
    </row>
    <row r="55" spans="1:225" x14ac:dyDescent="0.35">
      <c r="A55" t="str">
        <f>IF('Raw File'!E55&gt;0,'Raw File'!E55, " ")</f>
        <v xml:space="preserve"> </v>
      </c>
      <c r="B55" t="str">
        <f>IF('Raw File'!D55&gt;0,'Raw File'!D55," ")</f>
        <v xml:space="preserve"> </v>
      </c>
      <c r="C55" t="str">
        <f>IF('Raw File'!F55&gt;0,'Raw File'!F55, " ")</f>
        <v xml:space="preserve"> </v>
      </c>
      <c r="D55" s="1" t="str">
        <f>IF('Raw File'!R55&gt;0,'Raw File'!R55, " ")</f>
        <v xml:space="preserve"> </v>
      </c>
      <c r="E55" t="str">
        <f>IF('Raw File'!C55&gt;0, 296, " ")</f>
        <v xml:space="preserve"> </v>
      </c>
      <c r="F55" s="10" t="str">
        <f>IF('Raw File'!C55&gt;0, "5", " ")</f>
        <v xml:space="preserve"> </v>
      </c>
      <c r="G55" t="str">
        <f>IF('Raw File'!C55&gt;0, "X", " ")</f>
        <v xml:space="preserve"> </v>
      </c>
      <c r="H55" t="str">
        <f>IF('Raw File'!N55="H", "S", LEFT('Raw File'!N55, 1))</f>
        <v/>
      </c>
      <c r="J55" t="str">
        <f>IF('Raw File'!J55&gt;0,'Raw File'!J55," ")</f>
        <v xml:space="preserve"> </v>
      </c>
      <c r="L55" t="str">
        <f>IF('Raw File'!M55&gt;0,'Raw File'!M55," ")</f>
        <v xml:space="preserve"> </v>
      </c>
      <c r="M55" t="str">
        <f>IF('Raw File'!K55&gt;0,'Raw File'!K55," ")</f>
        <v xml:space="preserve"> </v>
      </c>
      <c r="N55" t="str">
        <f>IF('Raw File'!L55&gt;0,'Raw File'!L55," ")</f>
        <v xml:space="preserve"> </v>
      </c>
      <c r="U55" t="str">
        <f>IF('Raw File'!Q55&gt;0,'Raw File'!Q55," ")</f>
        <v xml:space="preserve"> </v>
      </c>
      <c r="Y55" t="str">
        <f>IF('Raw File'!C55&gt;0,'Raw File'!C55," ")</f>
        <v xml:space="preserve"> </v>
      </c>
      <c r="Z55" t="str">
        <f>IF('Raw File'!C55&gt;0, "A", " ")</f>
        <v xml:space="preserve"> </v>
      </c>
      <c r="AA55" t="str">
        <f>IF('Raw File'!C55&gt;0, "F", " ")</f>
        <v xml:space="preserve"> </v>
      </c>
      <c r="AB55" t="str">
        <f>IF('Raw File'!H55&gt;0,'Raw File'!H55," ")</f>
        <v xml:space="preserve"> </v>
      </c>
      <c r="AC55" s="11" t="str">
        <f>IF('Raw File'!C55&gt;0,IF(WhatColor('Raw File'!C55)&gt;10,8810,8018)," ")</f>
        <v xml:space="preserve"> </v>
      </c>
      <c r="AD55" s="1" t="str">
        <f>IF('Raw File'!C55&gt;0,'Raw File'!A55," ")</f>
        <v xml:space="preserve"> </v>
      </c>
      <c r="AE55" s="1" t="str">
        <f>IF('Raw File'!C55&gt;0,'Raw File'!A55," ")</f>
        <v xml:space="preserve"> </v>
      </c>
      <c r="AF55" s="1" t="str">
        <f>IF('Raw File'!C55&gt;0,'Raw File'!A55," ")</f>
        <v xml:space="preserve"> </v>
      </c>
      <c r="AG55" t="str">
        <f>IF('Raw File'!C55&gt;0,'Raw File'!C55, " ")</f>
        <v xml:space="preserve"> </v>
      </c>
      <c r="AQ55" t="str">
        <f>IF('Raw File'!G55&gt;0, IF('Raw File'!G55&lt;100, "H", "S"), " ")</f>
        <v xml:space="preserve"> </v>
      </c>
      <c r="AR55" t="str">
        <f>IF('Raw File'!G55&gt;0,'Raw File'!G55," ")</f>
        <v xml:space="preserve"> </v>
      </c>
      <c r="AT55" t="str">
        <f>IF('Raw File'!C55&gt;0,40," ")</f>
        <v xml:space="preserve"> </v>
      </c>
      <c r="AV55" t="str">
        <f>IF('Raw File'!N55= 0, " ", IF('Raw File'!N55="S", "SS", IF( 'Raw File'!N55= "M", "MJ", IF('Raw File'!N55= "H", "H"))))</f>
        <v xml:space="preserve"> </v>
      </c>
      <c r="AW55" s="12"/>
      <c r="AX55" t="str">
        <f>LEFT('Raw File'!P55,1)</f>
        <v/>
      </c>
      <c r="AY55" t="str">
        <f>LEFT('Raw File'!N55,1)</f>
        <v/>
      </c>
      <c r="AZ55">
        <f>IF('Raw File'!O55="exempt",99,IF('Raw File'!O55&gt;0,'Raw File'!O55/2000,IF('Raw File'!O55=0,'Raw File'!O55," ")))</f>
        <v>0</v>
      </c>
      <c r="BA55" t="str">
        <f>LEFT('Raw File'!P55,1)</f>
        <v/>
      </c>
      <c r="BJ55" t="str">
        <f>IF('Raw File'!C55&gt;0,"1"," ")</f>
        <v xml:space="preserve"> </v>
      </c>
      <c r="BX55" t="str">
        <f>IF('Raw File'!C55&gt;0,"WEEKLY"," ")</f>
        <v xml:space="preserve"> </v>
      </c>
      <c r="CA55" t="str">
        <f>IF('Raw File'!C55&gt;0, "N"," ")</f>
        <v xml:space="preserve"> </v>
      </c>
      <c r="CI55" t="str">
        <f>IF('Raw File'!C55&gt;0, "W", " ")</f>
        <v xml:space="preserve"> </v>
      </c>
      <c r="DN55" s="1" t="str">
        <f>IF('Raw File'!C55&gt;0,'Raw File'!A55," ")</f>
        <v xml:space="preserve"> </v>
      </c>
      <c r="GY55">
        <f>IF('Raw File'!O55=" "," ",IF('Raw File'!O55&gt;100,'Raw File'!O55,IF('Raw File'!O55="exempt","99999",IF('Raw File'!O55&lt;100, 'Raw File'!O55*2000, " "))))</f>
        <v>0</v>
      </c>
      <c r="HQ55" t="str">
        <f>IF('Raw File'!C55&gt;0,"1"," ")</f>
        <v xml:space="preserve"> </v>
      </c>
    </row>
    <row r="56" spans="1:225" x14ac:dyDescent="0.35">
      <c r="A56" t="str">
        <f>IF('Raw File'!E56&gt;0,'Raw File'!E56, " ")</f>
        <v xml:space="preserve"> </v>
      </c>
      <c r="B56" t="str">
        <f>IF('Raw File'!D56&gt;0,'Raw File'!D56," ")</f>
        <v xml:space="preserve"> </v>
      </c>
      <c r="C56" t="str">
        <f>IF('Raw File'!F56&gt;0,'Raw File'!F56, " ")</f>
        <v xml:space="preserve"> </v>
      </c>
      <c r="D56" s="1" t="str">
        <f>IF('Raw File'!R56&gt;0,'Raw File'!R56, " ")</f>
        <v xml:space="preserve"> </v>
      </c>
      <c r="E56" t="str">
        <f>IF('Raw File'!C56&gt;0, 296, " ")</f>
        <v xml:space="preserve"> </v>
      </c>
      <c r="F56" s="10" t="str">
        <f>IF('Raw File'!C56&gt;0, "5", " ")</f>
        <v xml:space="preserve"> </v>
      </c>
      <c r="G56" t="str">
        <f>IF('Raw File'!C56&gt;0, "X", " ")</f>
        <v xml:space="preserve"> </v>
      </c>
      <c r="H56" t="str">
        <f>IF('Raw File'!N56="H", "S", LEFT('Raw File'!N56, 1))</f>
        <v/>
      </c>
      <c r="J56" t="str">
        <f>IF('Raw File'!J56&gt;0,'Raw File'!J56," ")</f>
        <v xml:space="preserve"> </v>
      </c>
      <c r="L56" t="str">
        <f>IF('Raw File'!M56&gt;0,'Raw File'!M56," ")</f>
        <v xml:space="preserve"> </v>
      </c>
      <c r="M56" t="str">
        <f>IF('Raw File'!K56&gt;0,'Raw File'!K56," ")</f>
        <v xml:space="preserve"> </v>
      </c>
      <c r="N56" t="str">
        <f>IF('Raw File'!L56&gt;0,'Raw File'!L56," ")</f>
        <v xml:space="preserve"> </v>
      </c>
      <c r="U56" t="str">
        <f>IF('Raw File'!Q56&gt;0,'Raw File'!Q56," ")</f>
        <v xml:space="preserve"> </v>
      </c>
      <c r="Y56" t="str">
        <f>IF('Raw File'!C56&gt;0,'Raw File'!C56," ")</f>
        <v xml:space="preserve"> </v>
      </c>
      <c r="Z56" t="str">
        <f>IF('Raw File'!C56&gt;0, "A", " ")</f>
        <v xml:space="preserve"> </v>
      </c>
      <c r="AA56" t="str">
        <f>IF('Raw File'!C56&gt;0, "F", " ")</f>
        <v xml:space="preserve"> </v>
      </c>
      <c r="AB56" t="str">
        <f>IF('Raw File'!H56&gt;0,'Raw File'!H56," ")</f>
        <v xml:space="preserve"> </v>
      </c>
      <c r="AC56" s="11" t="str">
        <f>IF('Raw File'!C56&gt;0,IF(WhatColor('Raw File'!C56)&gt;10,8810,8018)," ")</f>
        <v xml:space="preserve"> </v>
      </c>
      <c r="AD56" s="1" t="str">
        <f>IF('Raw File'!C56&gt;0,'Raw File'!A56," ")</f>
        <v xml:space="preserve"> </v>
      </c>
      <c r="AE56" s="1" t="str">
        <f>IF('Raw File'!C56&gt;0,'Raw File'!A56," ")</f>
        <v xml:space="preserve"> </v>
      </c>
      <c r="AF56" s="1" t="str">
        <f>IF('Raw File'!C56&gt;0,'Raw File'!A56," ")</f>
        <v xml:space="preserve"> </v>
      </c>
      <c r="AG56" t="str">
        <f>IF('Raw File'!C56&gt;0,'Raw File'!C56, " ")</f>
        <v xml:space="preserve"> </v>
      </c>
      <c r="AQ56" t="str">
        <f>IF('Raw File'!G56&gt;0, IF('Raw File'!G56&lt;100, "H", "S"), " ")</f>
        <v xml:space="preserve"> </v>
      </c>
      <c r="AR56" t="str">
        <f>IF('Raw File'!G56&gt;0,'Raw File'!G56," ")</f>
        <v xml:space="preserve"> </v>
      </c>
      <c r="AT56" t="str">
        <f>IF('Raw File'!C56&gt;0,40," ")</f>
        <v xml:space="preserve"> </v>
      </c>
      <c r="AV56" t="str">
        <f>IF('Raw File'!N56= 0, " ", IF('Raw File'!N56="S", "SS", IF( 'Raw File'!N56= "M", "MJ", IF('Raw File'!N56= "H", "H"))))</f>
        <v xml:space="preserve"> </v>
      </c>
      <c r="AW56" s="12"/>
      <c r="AX56" t="str">
        <f>LEFT('Raw File'!P56,1)</f>
        <v/>
      </c>
      <c r="AY56" t="str">
        <f>LEFT('Raw File'!N56,1)</f>
        <v/>
      </c>
      <c r="AZ56">
        <f>IF('Raw File'!O56="exempt",99,IF('Raw File'!O56&gt;0,'Raw File'!O56/2000,IF('Raw File'!O56=0,'Raw File'!O56," ")))</f>
        <v>0</v>
      </c>
      <c r="BA56" t="str">
        <f>LEFT('Raw File'!P56,1)</f>
        <v/>
      </c>
      <c r="BJ56" t="str">
        <f>IF('Raw File'!C56&gt;0,"1"," ")</f>
        <v xml:space="preserve"> </v>
      </c>
      <c r="BX56" t="str">
        <f>IF('Raw File'!C56&gt;0,"WEEKLY"," ")</f>
        <v xml:space="preserve"> </v>
      </c>
      <c r="CA56" t="str">
        <f>IF('Raw File'!C56&gt;0, "N"," ")</f>
        <v xml:space="preserve"> </v>
      </c>
      <c r="CI56" t="str">
        <f>IF('Raw File'!C56&gt;0, "W", " ")</f>
        <v xml:space="preserve"> </v>
      </c>
      <c r="DN56" s="1" t="str">
        <f>IF('Raw File'!C56&gt;0,'Raw File'!A56," ")</f>
        <v xml:space="preserve"> </v>
      </c>
      <c r="GY56">
        <f>IF('Raw File'!O56=" "," ",IF('Raw File'!O56&gt;100,'Raw File'!O56,IF('Raw File'!O56="exempt","99999",IF('Raw File'!O56&lt;100, 'Raw File'!O56*2000, " "))))</f>
        <v>0</v>
      </c>
      <c r="HQ56" t="str">
        <f>IF('Raw File'!C56&gt;0,"1"," ")</f>
        <v xml:space="preserve"> </v>
      </c>
    </row>
    <row r="57" spans="1:225" x14ac:dyDescent="0.35">
      <c r="A57" t="str">
        <f>IF('Raw File'!E57&gt;0,'Raw File'!E57, " ")</f>
        <v xml:space="preserve"> </v>
      </c>
      <c r="B57" t="str">
        <f>IF('Raw File'!D57&gt;0,'Raw File'!D57," ")</f>
        <v xml:space="preserve"> </v>
      </c>
      <c r="C57" t="str">
        <f>IF('Raw File'!F57&gt;0,'Raw File'!F57, " ")</f>
        <v xml:space="preserve"> </v>
      </c>
      <c r="D57" s="1" t="str">
        <f>IF('Raw File'!R57&gt;0,'Raw File'!R57, " ")</f>
        <v xml:space="preserve"> </v>
      </c>
      <c r="E57" t="str">
        <f>IF('Raw File'!C57&gt;0, 296, " ")</f>
        <v xml:space="preserve"> </v>
      </c>
      <c r="F57" s="10" t="str">
        <f>IF('Raw File'!C57&gt;0, "5", " ")</f>
        <v xml:space="preserve"> </v>
      </c>
      <c r="G57" t="str">
        <f>IF('Raw File'!C57&gt;0, "X", " ")</f>
        <v xml:space="preserve"> </v>
      </c>
      <c r="H57" t="str">
        <f>IF('Raw File'!N57="H", "S", LEFT('Raw File'!N57, 1))</f>
        <v/>
      </c>
      <c r="J57" t="str">
        <f>IF('Raw File'!J57&gt;0,'Raw File'!J57," ")</f>
        <v xml:space="preserve"> </v>
      </c>
      <c r="L57" t="str">
        <f>IF('Raw File'!M57&gt;0,'Raw File'!M57," ")</f>
        <v xml:space="preserve"> </v>
      </c>
      <c r="M57" t="str">
        <f>IF('Raw File'!K57&gt;0,'Raw File'!K57," ")</f>
        <v xml:space="preserve"> </v>
      </c>
      <c r="N57" t="str">
        <f>IF('Raw File'!L57&gt;0,'Raw File'!L57," ")</f>
        <v xml:space="preserve"> </v>
      </c>
      <c r="U57" t="str">
        <f>IF('Raw File'!Q57&gt;0,'Raw File'!Q57," ")</f>
        <v xml:space="preserve"> </v>
      </c>
      <c r="Y57" t="str">
        <f>IF('Raw File'!C57&gt;0,'Raw File'!C57," ")</f>
        <v xml:space="preserve"> </v>
      </c>
      <c r="Z57" t="str">
        <f>IF('Raw File'!C57&gt;0, "A", " ")</f>
        <v xml:space="preserve"> </v>
      </c>
      <c r="AA57" t="str">
        <f>IF('Raw File'!C57&gt;0, "F", " ")</f>
        <v xml:space="preserve"> </v>
      </c>
      <c r="AB57" t="str">
        <f>IF('Raw File'!H57&gt;0,'Raw File'!H57," ")</f>
        <v xml:space="preserve"> </v>
      </c>
      <c r="AC57" s="11" t="str">
        <f>IF('Raw File'!C57&gt;0,IF(WhatColor('Raw File'!C57)&gt;10,8810,8018)," ")</f>
        <v xml:space="preserve"> </v>
      </c>
      <c r="AD57" s="1" t="str">
        <f>IF('Raw File'!C57&gt;0,'Raw File'!A57," ")</f>
        <v xml:space="preserve"> </v>
      </c>
      <c r="AE57" s="1" t="str">
        <f>IF('Raw File'!C57&gt;0,'Raw File'!A57," ")</f>
        <v xml:space="preserve"> </v>
      </c>
      <c r="AF57" s="1" t="str">
        <f>IF('Raw File'!C57&gt;0,'Raw File'!A57," ")</f>
        <v xml:space="preserve"> </v>
      </c>
      <c r="AG57" t="str">
        <f>IF('Raw File'!C57&gt;0,'Raw File'!C57, " ")</f>
        <v xml:space="preserve"> </v>
      </c>
      <c r="AQ57" t="str">
        <f>IF('Raw File'!G57&gt;0, IF('Raw File'!G57&lt;100, "H", "S"), " ")</f>
        <v xml:space="preserve"> </v>
      </c>
      <c r="AR57" t="str">
        <f>IF('Raw File'!G57&gt;0,'Raw File'!G57," ")</f>
        <v xml:space="preserve"> </v>
      </c>
      <c r="AT57" t="str">
        <f>IF('Raw File'!C57&gt;0,40," ")</f>
        <v xml:space="preserve"> </v>
      </c>
      <c r="AV57" t="str">
        <f>IF('Raw File'!N57= 0, " ", IF('Raw File'!N57="S", "SS", IF( 'Raw File'!N57= "M", "MJ", IF('Raw File'!N57= "H", "H"))))</f>
        <v xml:space="preserve"> </v>
      </c>
      <c r="AW57" s="12"/>
      <c r="AX57" t="str">
        <f>LEFT('Raw File'!P57,1)</f>
        <v/>
      </c>
      <c r="AY57" t="str">
        <f>LEFT('Raw File'!N57,1)</f>
        <v/>
      </c>
      <c r="AZ57">
        <f>IF('Raw File'!O57="exempt",99,IF('Raw File'!O57&gt;0,'Raw File'!O57/2000,IF('Raw File'!O57=0,'Raw File'!O57," ")))</f>
        <v>0</v>
      </c>
      <c r="BA57" t="str">
        <f>LEFT('Raw File'!P57,1)</f>
        <v/>
      </c>
      <c r="BJ57" t="str">
        <f>IF('Raw File'!C57&gt;0,"1"," ")</f>
        <v xml:space="preserve"> </v>
      </c>
      <c r="BX57" t="str">
        <f>IF('Raw File'!C57&gt;0,"WEEKLY"," ")</f>
        <v xml:space="preserve"> </v>
      </c>
      <c r="CA57" t="str">
        <f>IF('Raw File'!C57&gt;0, "N"," ")</f>
        <v xml:space="preserve"> </v>
      </c>
      <c r="CI57" t="str">
        <f>IF('Raw File'!C57&gt;0, "W", " ")</f>
        <v xml:space="preserve"> </v>
      </c>
      <c r="DN57" s="1" t="str">
        <f>IF('Raw File'!C57&gt;0,'Raw File'!A57," ")</f>
        <v xml:space="preserve"> </v>
      </c>
      <c r="GY57">
        <f>IF('Raw File'!O57=" "," ",IF('Raw File'!O57&gt;100,'Raw File'!O57,IF('Raw File'!O57="exempt","99999",IF('Raw File'!O57&lt;100, 'Raw File'!O57*2000, " "))))</f>
        <v>0</v>
      </c>
      <c r="HQ57" t="str">
        <f>IF('Raw File'!C57&gt;0,"1"," ")</f>
        <v xml:space="preserve"> </v>
      </c>
    </row>
    <row r="58" spans="1:225" x14ac:dyDescent="0.35">
      <c r="A58" t="str">
        <f>IF('Raw File'!E58&gt;0,'Raw File'!E58, " ")</f>
        <v xml:space="preserve"> </v>
      </c>
      <c r="B58" t="str">
        <f>IF('Raw File'!D58&gt;0,'Raw File'!D58," ")</f>
        <v xml:space="preserve"> </v>
      </c>
      <c r="C58" t="str">
        <f>IF('Raw File'!F58&gt;0,'Raw File'!F58, " ")</f>
        <v xml:space="preserve"> </v>
      </c>
      <c r="D58" s="1" t="str">
        <f>IF('Raw File'!R58&gt;0,'Raw File'!R58, " ")</f>
        <v xml:space="preserve"> </v>
      </c>
      <c r="E58" t="str">
        <f>IF('Raw File'!C58&gt;0, 296, " ")</f>
        <v xml:space="preserve"> </v>
      </c>
      <c r="F58" s="10" t="str">
        <f>IF('Raw File'!C58&gt;0, "5", " ")</f>
        <v xml:space="preserve"> </v>
      </c>
      <c r="G58" t="str">
        <f>IF('Raw File'!C58&gt;0, "X", " ")</f>
        <v xml:space="preserve"> </v>
      </c>
      <c r="H58" t="str">
        <f>IF('Raw File'!N58="H", "S", LEFT('Raw File'!N58, 1))</f>
        <v/>
      </c>
      <c r="J58" t="str">
        <f>IF('Raw File'!J58&gt;0,'Raw File'!J58," ")</f>
        <v xml:space="preserve"> </v>
      </c>
      <c r="L58" t="str">
        <f>IF('Raw File'!M58&gt;0,'Raw File'!M58," ")</f>
        <v xml:space="preserve"> </v>
      </c>
      <c r="M58" t="str">
        <f>IF('Raw File'!K58&gt;0,'Raw File'!K58," ")</f>
        <v xml:space="preserve"> </v>
      </c>
      <c r="N58" t="str">
        <f>IF('Raw File'!L58&gt;0,'Raw File'!L58," ")</f>
        <v xml:space="preserve"> </v>
      </c>
      <c r="U58" t="str">
        <f>IF('Raw File'!Q58&gt;0,'Raw File'!Q58," ")</f>
        <v xml:space="preserve"> </v>
      </c>
      <c r="Y58" t="str">
        <f>IF('Raw File'!C58&gt;0,'Raw File'!C58," ")</f>
        <v xml:space="preserve"> </v>
      </c>
      <c r="Z58" t="str">
        <f>IF('Raw File'!C58&gt;0, "A", " ")</f>
        <v xml:space="preserve"> </v>
      </c>
      <c r="AA58" t="str">
        <f>IF('Raw File'!C58&gt;0, "F", " ")</f>
        <v xml:space="preserve"> </v>
      </c>
      <c r="AB58" t="str">
        <f>IF('Raw File'!H58&gt;0,'Raw File'!H58," ")</f>
        <v xml:space="preserve"> </v>
      </c>
      <c r="AC58" s="11" t="str">
        <f>IF('Raw File'!C58&gt;0,IF(WhatColor('Raw File'!C58)&gt;10,8810,8018)," ")</f>
        <v xml:space="preserve"> </v>
      </c>
      <c r="AD58" s="1" t="str">
        <f>IF('Raw File'!C58&gt;0,'Raw File'!A58," ")</f>
        <v xml:space="preserve"> </v>
      </c>
      <c r="AE58" s="1" t="str">
        <f>IF('Raw File'!C58&gt;0,'Raw File'!A58," ")</f>
        <v xml:space="preserve"> </v>
      </c>
      <c r="AF58" s="1" t="str">
        <f>IF('Raw File'!C58&gt;0,'Raw File'!A58," ")</f>
        <v xml:space="preserve"> </v>
      </c>
      <c r="AG58" t="str">
        <f>IF('Raw File'!C58&gt;0,'Raw File'!C58, " ")</f>
        <v xml:space="preserve"> </v>
      </c>
      <c r="AQ58" t="str">
        <f>IF('Raw File'!G58&gt;0, IF('Raw File'!G58&lt;100, "H", "S"), " ")</f>
        <v xml:space="preserve"> </v>
      </c>
      <c r="AR58" t="str">
        <f>IF('Raw File'!G58&gt;0,'Raw File'!G58," ")</f>
        <v xml:space="preserve"> </v>
      </c>
      <c r="AT58" t="str">
        <f>IF('Raw File'!C58&gt;0,40," ")</f>
        <v xml:space="preserve"> </v>
      </c>
      <c r="AV58" t="str">
        <f>IF('Raw File'!N58= 0, " ", IF('Raw File'!N58="S", "SS", IF( 'Raw File'!N58= "M", "MJ", IF('Raw File'!N58= "H", "H"))))</f>
        <v xml:space="preserve"> </v>
      </c>
      <c r="AW58" s="12"/>
      <c r="AX58" t="str">
        <f>LEFT('Raw File'!P58,1)</f>
        <v/>
      </c>
      <c r="AY58" t="str">
        <f>LEFT('Raw File'!N58,1)</f>
        <v/>
      </c>
      <c r="AZ58">
        <f>IF('Raw File'!O58="exempt",99,IF('Raw File'!O58&gt;0,'Raw File'!O58/2000,IF('Raw File'!O58=0,'Raw File'!O58," ")))</f>
        <v>0</v>
      </c>
      <c r="BA58" t="str">
        <f>LEFT('Raw File'!P58,1)</f>
        <v/>
      </c>
      <c r="BJ58" t="str">
        <f>IF('Raw File'!C58&gt;0,"1"," ")</f>
        <v xml:space="preserve"> </v>
      </c>
      <c r="BX58" t="str">
        <f>IF('Raw File'!C58&gt;0,"WEEKLY"," ")</f>
        <v xml:space="preserve"> </v>
      </c>
      <c r="CA58" t="str">
        <f>IF('Raw File'!C58&gt;0, "N"," ")</f>
        <v xml:space="preserve"> </v>
      </c>
      <c r="CI58" t="str">
        <f>IF('Raw File'!C58&gt;0, "W", " ")</f>
        <v xml:space="preserve"> </v>
      </c>
      <c r="DN58" s="1" t="str">
        <f>IF('Raw File'!C58&gt;0,'Raw File'!A58," ")</f>
        <v xml:space="preserve"> </v>
      </c>
      <c r="GY58">
        <f>IF('Raw File'!O58=" "," ",IF('Raw File'!O58&gt;100,'Raw File'!O58,IF('Raw File'!O58="exempt","99999",IF('Raw File'!O58&lt;100, 'Raw File'!O58*2000, " "))))</f>
        <v>0</v>
      </c>
      <c r="HQ58" t="str">
        <f>IF('Raw File'!C58&gt;0,"1"," ")</f>
        <v xml:space="preserve"> </v>
      </c>
    </row>
    <row r="59" spans="1:225" x14ac:dyDescent="0.35">
      <c r="A59" t="str">
        <f>IF('Raw File'!E59&gt;0,'Raw File'!E59, " ")</f>
        <v xml:space="preserve"> </v>
      </c>
      <c r="B59" t="str">
        <f>IF('Raw File'!D59&gt;0,'Raw File'!D59," ")</f>
        <v xml:space="preserve"> </v>
      </c>
      <c r="C59" t="str">
        <f>IF('Raw File'!F59&gt;0,'Raw File'!F59, " ")</f>
        <v xml:space="preserve"> </v>
      </c>
      <c r="D59" s="1" t="str">
        <f>IF('Raw File'!R59&gt;0,'Raw File'!R59, " ")</f>
        <v xml:space="preserve"> </v>
      </c>
      <c r="E59" t="str">
        <f>IF('Raw File'!C59&gt;0, 296, " ")</f>
        <v xml:space="preserve"> </v>
      </c>
      <c r="F59" s="10" t="str">
        <f>IF('Raw File'!C59&gt;0, "5", " ")</f>
        <v xml:space="preserve"> </v>
      </c>
      <c r="G59" t="str">
        <f>IF('Raw File'!C59&gt;0, "X", " ")</f>
        <v xml:space="preserve"> </v>
      </c>
      <c r="H59" t="str">
        <f>IF('Raw File'!N59="H", "S", LEFT('Raw File'!N59, 1))</f>
        <v/>
      </c>
      <c r="J59" t="str">
        <f>IF('Raw File'!J59&gt;0,'Raw File'!J59," ")</f>
        <v xml:space="preserve"> </v>
      </c>
      <c r="L59" t="str">
        <f>IF('Raw File'!M59&gt;0,'Raw File'!M59," ")</f>
        <v xml:space="preserve"> </v>
      </c>
      <c r="M59" t="str">
        <f>IF('Raw File'!K59&gt;0,'Raw File'!K59," ")</f>
        <v xml:space="preserve"> </v>
      </c>
      <c r="N59" t="str">
        <f>IF('Raw File'!L59&gt;0,'Raw File'!L59," ")</f>
        <v xml:space="preserve"> </v>
      </c>
      <c r="U59" t="str">
        <f>IF('Raw File'!Q59&gt;0,'Raw File'!Q59," ")</f>
        <v xml:space="preserve"> </v>
      </c>
      <c r="Y59" t="str">
        <f>IF('Raw File'!C59&gt;0,'Raw File'!C59," ")</f>
        <v xml:space="preserve"> </v>
      </c>
      <c r="Z59" t="str">
        <f>IF('Raw File'!C59&gt;0, "A", " ")</f>
        <v xml:space="preserve"> </v>
      </c>
      <c r="AA59" t="str">
        <f>IF('Raw File'!C59&gt;0, "F", " ")</f>
        <v xml:space="preserve"> </v>
      </c>
      <c r="AB59" t="str">
        <f>IF('Raw File'!H59&gt;0,'Raw File'!H59," ")</f>
        <v xml:space="preserve"> </v>
      </c>
      <c r="AC59" s="11" t="str">
        <f>IF('Raw File'!C59&gt;0,IF(WhatColor('Raw File'!C59)&gt;10,8810,8018)," ")</f>
        <v xml:space="preserve"> </v>
      </c>
      <c r="AD59" s="1" t="str">
        <f>IF('Raw File'!C59&gt;0,'Raw File'!A59," ")</f>
        <v xml:space="preserve"> </v>
      </c>
      <c r="AE59" s="1" t="str">
        <f>IF('Raw File'!C59&gt;0,'Raw File'!A59," ")</f>
        <v xml:space="preserve"> </v>
      </c>
      <c r="AF59" s="1" t="str">
        <f>IF('Raw File'!C59&gt;0,'Raw File'!A59," ")</f>
        <v xml:space="preserve"> </v>
      </c>
      <c r="AG59" t="str">
        <f>IF('Raw File'!C59&gt;0,'Raw File'!C59, " ")</f>
        <v xml:space="preserve"> </v>
      </c>
      <c r="AQ59" t="str">
        <f>IF('Raw File'!G59&gt;0, IF('Raw File'!G59&lt;100, "H", "S"), " ")</f>
        <v xml:space="preserve"> </v>
      </c>
      <c r="AR59" t="str">
        <f>IF('Raw File'!G59&gt;0,'Raw File'!G59," ")</f>
        <v xml:space="preserve"> </v>
      </c>
      <c r="AT59" t="str">
        <f>IF('Raw File'!C59&gt;0,40," ")</f>
        <v xml:space="preserve"> </v>
      </c>
      <c r="AV59" t="str">
        <f>IF('Raw File'!N59= 0, " ", IF('Raw File'!N59="S", "SS", IF( 'Raw File'!N59= "M", "MJ", IF('Raw File'!N59= "H", "H"))))</f>
        <v xml:space="preserve"> </v>
      </c>
      <c r="AW59" s="12"/>
      <c r="AX59" t="str">
        <f>LEFT('Raw File'!P59,1)</f>
        <v/>
      </c>
      <c r="AY59" t="str">
        <f>LEFT('Raw File'!N59,1)</f>
        <v/>
      </c>
      <c r="AZ59">
        <f>IF('Raw File'!O59="exempt",99,IF('Raw File'!O59&gt;0,'Raw File'!O59/2000,IF('Raw File'!O59=0,'Raw File'!O59," ")))</f>
        <v>0</v>
      </c>
      <c r="BA59" t="str">
        <f>LEFT('Raw File'!P59,1)</f>
        <v/>
      </c>
      <c r="BJ59" t="str">
        <f>IF('Raw File'!C59&gt;0,"1"," ")</f>
        <v xml:space="preserve"> </v>
      </c>
      <c r="BX59" t="str">
        <f>IF('Raw File'!C59&gt;0,"WEEKLY"," ")</f>
        <v xml:space="preserve"> </v>
      </c>
      <c r="CA59" t="str">
        <f>IF('Raw File'!C59&gt;0, "N"," ")</f>
        <v xml:space="preserve"> </v>
      </c>
      <c r="CI59" t="str">
        <f>IF('Raw File'!C59&gt;0, "W", " ")</f>
        <v xml:space="preserve"> </v>
      </c>
      <c r="DN59" s="1" t="str">
        <f>IF('Raw File'!C59&gt;0,'Raw File'!A59," ")</f>
        <v xml:space="preserve"> </v>
      </c>
      <c r="GY59">
        <f>IF('Raw File'!O59=" "," ",IF('Raw File'!O59&gt;100,'Raw File'!O59,IF('Raw File'!O59="exempt","99999",IF('Raw File'!O59&lt;100, 'Raw File'!O59*2000, " "))))</f>
        <v>0</v>
      </c>
      <c r="HQ59" t="str">
        <f>IF('Raw File'!C59&gt;0,"1"," ")</f>
        <v xml:space="preserve"> </v>
      </c>
    </row>
    <row r="60" spans="1:225" x14ac:dyDescent="0.35">
      <c r="A60" t="str">
        <f>IF('Raw File'!E60&gt;0,'Raw File'!E60, " ")</f>
        <v xml:space="preserve"> </v>
      </c>
      <c r="B60" t="str">
        <f>IF('Raw File'!D60&gt;0,'Raw File'!D60," ")</f>
        <v xml:space="preserve"> </v>
      </c>
      <c r="C60" t="str">
        <f>IF('Raw File'!F60&gt;0,'Raw File'!F60, " ")</f>
        <v xml:space="preserve"> </v>
      </c>
      <c r="D60" s="1" t="str">
        <f>IF('Raw File'!R60&gt;0,'Raw File'!R60, " ")</f>
        <v xml:space="preserve"> </v>
      </c>
      <c r="E60" t="str">
        <f>IF('Raw File'!C60&gt;0, 296, " ")</f>
        <v xml:space="preserve"> </v>
      </c>
      <c r="F60" s="10" t="str">
        <f>IF('Raw File'!C60&gt;0, "5", " ")</f>
        <v xml:space="preserve"> </v>
      </c>
      <c r="G60" t="str">
        <f>IF('Raw File'!C60&gt;0, "X", " ")</f>
        <v xml:space="preserve"> </v>
      </c>
      <c r="H60" t="str">
        <f>IF('Raw File'!N60="H", "S", LEFT('Raw File'!N60, 1))</f>
        <v/>
      </c>
      <c r="J60" t="str">
        <f>IF('Raw File'!J60&gt;0,'Raw File'!J60," ")</f>
        <v xml:space="preserve"> </v>
      </c>
      <c r="L60" t="str">
        <f>IF('Raw File'!M60&gt;0,'Raw File'!M60," ")</f>
        <v xml:space="preserve"> </v>
      </c>
      <c r="M60" t="str">
        <f>IF('Raw File'!K60&gt;0,'Raw File'!K60," ")</f>
        <v xml:space="preserve"> </v>
      </c>
      <c r="N60" t="str">
        <f>IF('Raw File'!L60&gt;0,'Raw File'!L60," ")</f>
        <v xml:space="preserve"> </v>
      </c>
      <c r="U60" t="str">
        <f>IF('Raw File'!Q60&gt;0,'Raw File'!Q60," ")</f>
        <v xml:space="preserve"> </v>
      </c>
      <c r="Y60" t="str">
        <f>IF('Raw File'!C60&gt;0,'Raw File'!C60," ")</f>
        <v xml:space="preserve"> </v>
      </c>
      <c r="Z60" t="str">
        <f>IF('Raw File'!C60&gt;0, "A", " ")</f>
        <v xml:space="preserve"> </v>
      </c>
      <c r="AA60" t="str">
        <f>IF('Raw File'!C60&gt;0, "F", " ")</f>
        <v xml:space="preserve"> </v>
      </c>
      <c r="AB60" t="str">
        <f>IF('Raw File'!H60&gt;0,'Raw File'!H60," ")</f>
        <v xml:space="preserve"> </v>
      </c>
      <c r="AC60" s="11" t="str">
        <f>IF('Raw File'!C60&gt;0,IF(WhatColor('Raw File'!C60)&gt;10,8810,8018)," ")</f>
        <v xml:space="preserve"> </v>
      </c>
      <c r="AD60" s="1" t="str">
        <f>IF('Raw File'!C60&gt;0,'Raw File'!A60," ")</f>
        <v xml:space="preserve"> </v>
      </c>
      <c r="AE60" s="1" t="str">
        <f>IF('Raw File'!C60&gt;0,'Raw File'!A60," ")</f>
        <v xml:space="preserve"> </v>
      </c>
      <c r="AF60" s="1" t="str">
        <f>IF('Raw File'!C60&gt;0,'Raw File'!A60," ")</f>
        <v xml:space="preserve"> </v>
      </c>
      <c r="AG60" t="str">
        <f>IF('Raw File'!C60&gt;0,'Raw File'!C60, " ")</f>
        <v xml:space="preserve"> </v>
      </c>
      <c r="AQ60" t="str">
        <f>IF('Raw File'!G60&gt;0, IF('Raw File'!G60&lt;100, "H", "S"), " ")</f>
        <v xml:space="preserve"> </v>
      </c>
      <c r="AR60" t="str">
        <f>IF('Raw File'!G60&gt;0,'Raw File'!G60," ")</f>
        <v xml:space="preserve"> </v>
      </c>
      <c r="AT60" t="str">
        <f>IF('Raw File'!C60&gt;0,40," ")</f>
        <v xml:space="preserve"> </v>
      </c>
      <c r="AV60" t="str">
        <f>IF('Raw File'!N60= 0, " ", IF('Raw File'!N60="S", "SS", IF( 'Raw File'!N60= "M", "MJ", IF('Raw File'!N60= "H", "H"))))</f>
        <v xml:space="preserve"> </v>
      </c>
      <c r="AW60" s="12"/>
      <c r="AX60" t="str">
        <f>LEFT('Raw File'!P60,1)</f>
        <v/>
      </c>
      <c r="AY60" t="str">
        <f>LEFT('Raw File'!N60,1)</f>
        <v/>
      </c>
      <c r="AZ60">
        <f>IF('Raw File'!O60="exempt",99,IF('Raw File'!O60&gt;0,'Raw File'!O60/2000,IF('Raw File'!O60=0,'Raw File'!O60," ")))</f>
        <v>0</v>
      </c>
      <c r="BA60" t="str">
        <f>LEFT('Raw File'!P60,1)</f>
        <v/>
      </c>
      <c r="BJ60" t="str">
        <f>IF('Raw File'!C60&gt;0,"1"," ")</f>
        <v xml:space="preserve"> </v>
      </c>
      <c r="BX60" t="str">
        <f>IF('Raw File'!C60&gt;0,"WEEKLY"," ")</f>
        <v xml:space="preserve"> </v>
      </c>
      <c r="CA60" t="str">
        <f>IF('Raw File'!C60&gt;0, "N"," ")</f>
        <v xml:space="preserve"> </v>
      </c>
      <c r="CI60" t="str">
        <f>IF('Raw File'!C60&gt;0, "W", " ")</f>
        <v xml:space="preserve"> </v>
      </c>
      <c r="DN60" s="1" t="str">
        <f>IF('Raw File'!C60&gt;0,'Raw File'!A60," ")</f>
        <v xml:space="preserve"> </v>
      </c>
      <c r="GY60">
        <f>IF('Raw File'!O60=" "," ",IF('Raw File'!O60&gt;100,'Raw File'!O60,IF('Raw File'!O60="exempt","99999",IF('Raw File'!O60&lt;100, 'Raw File'!O60*2000, " "))))</f>
        <v>0</v>
      </c>
      <c r="HQ60" t="str">
        <f>IF('Raw File'!C60&gt;0,"1"," ")</f>
        <v xml:space="preserve"> </v>
      </c>
    </row>
    <row r="61" spans="1:225" x14ac:dyDescent="0.35">
      <c r="A61" t="str">
        <f>IF('Raw File'!E61&gt;0,'Raw File'!E61, " ")</f>
        <v xml:space="preserve"> </v>
      </c>
      <c r="B61" t="str">
        <f>IF('Raw File'!D61&gt;0,'Raw File'!D61," ")</f>
        <v xml:space="preserve"> </v>
      </c>
      <c r="C61" t="str">
        <f>IF('Raw File'!F61&gt;0,'Raw File'!F61, " ")</f>
        <v xml:space="preserve"> </v>
      </c>
      <c r="D61" s="1" t="str">
        <f>IF('Raw File'!R61&gt;0,'Raw File'!R61, " ")</f>
        <v xml:space="preserve"> </v>
      </c>
      <c r="E61" t="str">
        <f>IF('Raw File'!C61&gt;0, 296, " ")</f>
        <v xml:space="preserve"> </v>
      </c>
      <c r="F61" s="10" t="str">
        <f>IF('Raw File'!C61&gt;0, "5", " ")</f>
        <v xml:space="preserve"> </v>
      </c>
      <c r="G61" t="str">
        <f>IF('Raw File'!C61&gt;0, "X", " ")</f>
        <v xml:space="preserve"> </v>
      </c>
      <c r="H61" t="str">
        <f>IF('Raw File'!N61="H", "S", LEFT('Raw File'!N61, 1))</f>
        <v/>
      </c>
      <c r="J61" t="str">
        <f>IF('Raw File'!J61&gt;0,'Raw File'!J61," ")</f>
        <v xml:space="preserve"> </v>
      </c>
      <c r="L61" t="str">
        <f>IF('Raw File'!M61&gt;0,'Raw File'!M61," ")</f>
        <v xml:space="preserve"> </v>
      </c>
      <c r="M61" t="str">
        <f>IF('Raw File'!K61&gt;0,'Raw File'!K61," ")</f>
        <v xml:space="preserve"> </v>
      </c>
      <c r="N61" t="str">
        <f>IF('Raw File'!L61&gt;0,'Raw File'!L61," ")</f>
        <v xml:space="preserve"> </v>
      </c>
      <c r="U61" t="str">
        <f>IF('Raw File'!Q61&gt;0,'Raw File'!Q61," ")</f>
        <v xml:space="preserve"> </v>
      </c>
      <c r="Y61" t="str">
        <f>IF('Raw File'!C61&gt;0,'Raw File'!C61," ")</f>
        <v xml:space="preserve"> </v>
      </c>
      <c r="Z61" t="str">
        <f>IF('Raw File'!C61&gt;0, "A", " ")</f>
        <v xml:space="preserve"> </v>
      </c>
      <c r="AA61" t="str">
        <f>IF('Raw File'!C61&gt;0, "F", " ")</f>
        <v xml:space="preserve"> </v>
      </c>
      <c r="AB61" t="str">
        <f>IF('Raw File'!H61&gt;0,'Raw File'!H61," ")</f>
        <v xml:space="preserve"> </v>
      </c>
      <c r="AC61" s="11" t="str">
        <f>IF('Raw File'!C61&gt;0,IF(WhatColor('Raw File'!C61)&gt;10,8810,8018)," ")</f>
        <v xml:space="preserve"> </v>
      </c>
      <c r="AD61" s="1" t="str">
        <f>IF('Raw File'!C61&gt;0,'Raw File'!A61," ")</f>
        <v xml:space="preserve"> </v>
      </c>
      <c r="AE61" s="1" t="str">
        <f>IF('Raw File'!C61&gt;0,'Raw File'!A61," ")</f>
        <v xml:space="preserve"> </v>
      </c>
      <c r="AF61" s="1" t="str">
        <f>IF('Raw File'!C61&gt;0,'Raw File'!A61," ")</f>
        <v xml:space="preserve"> </v>
      </c>
      <c r="AG61" t="str">
        <f>IF('Raw File'!C61&gt;0,'Raw File'!C61, " ")</f>
        <v xml:space="preserve"> </v>
      </c>
      <c r="AQ61" t="str">
        <f>IF('Raw File'!G61&gt;0, IF('Raw File'!G61&lt;100, "H", "S"), " ")</f>
        <v xml:space="preserve"> </v>
      </c>
      <c r="AR61" t="str">
        <f>IF('Raw File'!G61&gt;0,'Raw File'!G61," ")</f>
        <v xml:space="preserve"> </v>
      </c>
      <c r="AT61" t="str">
        <f>IF('Raw File'!C61&gt;0,40," ")</f>
        <v xml:space="preserve"> </v>
      </c>
      <c r="AV61" t="str">
        <f>IF('Raw File'!N61= 0, " ", IF('Raw File'!N61="S", "SS", IF( 'Raw File'!N61= "M", "MJ", IF('Raw File'!N61= "H", "H"))))</f>
        <v xml:space="preserve"> </v>
      </c>
      <c r="AW61" s="12"/>
      <c r="AX61" t="str">
        <f>LEFT('Raw File'!P61,1)</f>
        <v/>
      </c>
      <c r="AY61" t="str">
        <f>LEFT('Raw File'!N61,1)</f>
        <v/>
      </c>
      <c r="AZ61">
        <f>IF('Raw File'!O61="exempt",99,IF('Raw File'!O61&gt;0,'Raw File'!O61/2000,IF('Raw File'!O61=0,'Raw File'!O61," ")))</f>
        <v>0</v>
      </c>
      <c r="BA61" t="str">
        <f>LEFT('Raw File'!P61,1)</f>
        <v/>
      </c>
      <c r="BJ61" t="str">
        <f>IF('Raw File'!C61&gt;0,"1"," ")</f>
        <v xml:space="preserve"> </v>
      </c>
      <c r="BX61" t="str">
        <f>IF('Raw File'!C61&gt;0,"WEEKLY"," ")</f>
        <v xml:space="preserve"> </v>
      </c>
      <c r="CA61" t="str">
        <f>IF('Raw File'!C61&gt;0, "N"," ")</f>
        <v xml:space="preserve"> </v>
      </c>
      <c r="CI61" t="str">
        <f>IF('Raw File'!C61&gt;0, "W", " ")</f>
        <v xml:space="preserve"> </v>
      </c>
      <c r="DN61" s="1" t="str">
        <f>IF('Raw File'!C61&gt;0,'Raw File'!A61," ")</f>
        <v xml:space="preserve"> </v>
      </c>
      <c r="GY61">
        <f>IF('Raw File'!O61=" "," ",IF('Raw File'!O61&gt;100,'Raw File'!O61,IF('Raw File'!O61="exempt","99999",IF('Raw File'!O61&lt;100, 'Raw File'!O61*2000, " "))))</f>
        <v>0</v>
      </c>
      <c r="HQ61" t="str">
        <f>IF('Raw File'!C61&gt;0,"1"," ")</f>
        <v xml:space="preserve"> </v>
      </c>
    </row>
    <row r="62" spans="1:225" x14ac:dyDescent="0.35">
      <c r="A62" t="str">
        <f>IF('Raw File'!E62&gt;0,'Raw File'!E62, " ")</f>
        <v xml:space="preserve"> </v>
      </c>
      <c r="B62" t="str">
        <f>IF('Raw File'!D62&gt;0,'Raw File'!D62," ")</f>
        <v xml:space="preserve"> </v>
      </c>
      <c r="C62" t="str">
        <f>IF('Raw File'!F62&gt;0,'Raw File'!F62, " ")</f>
        <v xml:space="preserve"> </v>
      </c>
      <c r="D62" s="1" t="str">
        <f>IF('Raw File'!R62&gt;0,'Raw File'!R62, " ")</f>
        <v xml:space="preserve"> </v>
      </c>
      <c r="E62" t="str">
        <f>IF('Raw File'!C62&gt;0, 296, " ")</f>
        <v xml:space="preserve"> </v>
      </c>
      <c r="F62" s="10" t="str">
        <f>IF('Raw File'!C62&gt;0, "5", " ")</f>
        <v xml:space="preserve"> </v>
      </c>
      <c r="G62" t="str">
        <f>IF('Raw File'!C62&gt;0, "X", " ")</f>
        <v xml:space="preserve"> </v>
      </c>
      <c r="H62" t="str">
        <f>IF('Raw File'!N62="H", "S", LEFT('Raw File'!N62, 1))</f>
        <v/>
      </c>
      <c r="J62" t="str">
        <f>IF('Raw File'!J62&gt;0,'Raw File'!J62," ")</f>
        <v xml:space="preserve"> </v>
      </c>
      <c r="L62" t="str">
        <f>IF('Raw File'!M62&gt;0,'Raw File'!M62," ")</f>
        <v xml:space="preserve"> </v>
      </c>
      <c r="M62" t="str">
        <f>IF('Raw File'!K62&gt;0,'Raw File'!K62," ")</f>
        <v xml:space="preserve"> </v>
      </c>
      <c r="N62" t="str">
        <f>IF('Raw File'!L62&gt;0,'Raw File'!L62," ")</f>
        <v xml:space="preserve"> </v>
      </c>
      <c r="U62" t="str">
        <f>IF('Raw File'!Q62&gt;0,'Raw File'!Q62," ")</f>
        <v xml:space="preserve"> </v>
      </c>
      <c r="Y62" t="str">
        <f>IF('Raw File'!C62&gt;0,'Raw File'!C62," ")</f>
        <v xml:space="preserve"> </v>
      </c>
      <c r="Z62" t="str">
        <f>IF('Raw File'!C62&gt;0, "A", " ")</f>
        <v xml:space="preserve"> </v>
      </c>
      <c r="AA62" t="str">
        <f>IF('Raw File'!C62&gt;0, "F", " ")</f>
        <v xml:space="preserve"> </v>
      </c>
      <c r="AB62" t="str">
        <f>IF('Raw File'!H62&gt;0,'Raw File'!H62," ")</f>
        <v xml:space="preserve"> </v>
      </c>
      <c r="AC62" s="11" t="str">
        <f>IF('Raw File'!C62&gt;0,IF(WhatColor('Raw File'!C62)&gt;10,8810,8018)," ")</f>
        <v xml:space="preserve"> </v>
      </c>
      <c r="AD62" s="1" t="str">
        <f>IF('Raw File'!C62&gt;0,'Raw File'!A62," ")</f>
        <v xml:space="preserve"> </v>
      </c>
      <c r="AE62" s="1" t="str">
        <f>IF('Raw File'!C62&gt;0,'Raw File'!A62," ")</f>
        <v xml:space="preserve"> </v>
      </c>
      <c r="AF62" s="1" t="str">
        <f>IF('Raw File'!C62&gt;0,'Raw File'!A62," ")</f>
        <v xml:space="preserve"> </v>
      </c>
      <c r="AG62" t="str">
        <f>IF('Raw File'!C62&gt;0,'Raw File'!C62, " ")</f>
        <v xml:space="preserve"> </v>
      </c>
      <c r="AQ62" t="str">
        <f>IF('Raw File'!G62&gt;0, IF('Raw File'!G62&lt;100, "H", "S"), " ")</f>
        <v xml:space="preserve"> </v>
      </c>
      <c r="AR62" t="str">
        <f>IF('Raw File'!G62&gt;0,'Raw File'!G62," ")</f>
        <v xml:space="preserve"> </v>
      </c>
      <c r="AT62" t="str">
        <f>IF('Raw File'!C62&gt;0,40," ")</f>
        <v xml:space="preserve"> </v>
      </c>
      <c r="AV62" t="str">
        <f>IF('Raw File'!N62= 0, " ", IF('Raw File'!N62="S", "SS", IF( 'Raw File'!N62= "M", "MJ", IF('Raw File'!N62= "H", "H"))))</f>
        <v xml:space="preserve"> </v>
      </c>
      <c r="AW62" s="12"/>
      <c r="AX62" t="str">
        <f>LEFT('Raw File'!P62,1)</f>
        <v/>
      </c>
      <c r="AY62" t="str">
        <f>LEFT('Raw File'!N62,1)</f>
        <v/>
      </c>
      <c r="AZ62">
        <f>IF('Raw File'!O62="exempt",99,IF('Raw File'!O62&gt;0,'Raw File'!O62/2000,IF('Raw File'!O62=0,'Raw File'!O62," ")))</f>
        <v>0</v>
      </c>
      <c r="BA62" t="str">
        <f>LEFT('Raw File'!P62,1)</f>
        <v/>
      </c>
      <c r="BJ62" t="str">
        <f>IF('Raw File'!C62&gt;0,"1"," ")</f>
        <v xml:space="preserve"> </v>
      </c>
      <c r="BX62" t="str">
        <f>IF('Raw File'!C62&gt;0,"WEEKLY"," ")</f>
        <v xml:space="preserve"> </v>
      </c>
      <c r="CA62" t="str">
        <f>IF('Raw File'!C62&gt;0, "N"," ")</f>
        <v xml:space="preserve"> </v>
      </c>
      <c r="CI62" t="str">
        <f>IF('Raw File'!C62&gt;0, "W", " ")</f>
        <v xml:space="preserve"> </v>
      </c>
      <c r="DN62" s="1" t="str">
        <f>IF('Raw File'!C62&gt;0,'Raw File'!A62," ")</f>
        <v xml:space="preserve"> </v>
      </c>
      <c r="GY62">
        <f>IF('Raw File'!O62=" "," ",IF('Raw File'!O62&gt;100,'Raw File'!O62,IF('Raw File'!O62="exempt","99999",IF('Raw File'!O62&lt;100, 'Raw File'!O62*2000, " "))))</f>
        <v>0</v>
      </c>
      <c r="HQ62" t="str">
        <f>IF('Raw File'!C62&gt;0,"1"," ")</f>
        <v xml:space="preserve"> </v>
      </c>
    </row>
    <row r="63" spans="1:225" x14ac:dyDescent="0.35">
      <c r="A63" t="str">
        <f>IF('Raw File'!E63&gt;0,'Raw File'!E63, " ")</f>
        <v xml:space="preserve"> </v>
      </c>
      <c r="B63" t="str">
        <f>IF('Raw File'!D63&gt;0,'Raw File'!D63," ")</f>
        <v xml:space="preserve"> </v>
      </c>
      <c r="C63" t="str">
        <f>IF('Raw File'!F63&gt;0,'Raw File'!F63, " ")</f>
        <v xml:space="preserve"> </v>
      </c>
      <c r="D63" s="1" t="str">
        <f>IF('Raw File'!R63&gt;0,'Raw File'!R63, " ")</f>
        <v xml:space="preserve"> </v>
      </c>
      <c r="E63" t="str">
        <f>IF('Raw File'!C63&gt;0, 296, " ")</f>
        <v xml:space="preserve"> </v>
      </c>
      <c r="F63" s="10" t="str">
        <f>IF('Raw File'!C63&gt;0, "5", " ")</f>
        <v xml:space="preserve"> </v>
      </c>
      <c r="G63" t="str">
        <f>IF('Raw File'!C63&gt;0, "X", " ")</f>
        <v xml:space="preserve"> </v>
      </c>
      <c r="H63" t="str">
        <f>IF('Raw File'!N63="H", "S", LEFT('Raw File'!N63, 1))</f>
        <v/>
      </c>
      <c r="J63" t="str">
        <f>IF('Raw File'!J63&gt;0,'Raw File'!J63," ")</f>
        <v xml:space="preserve"> </v>
      </c>
      <c r="L63" t="str">
        <f>IF('Raw File'!M63&gt;0,'Raw File'!M63," ")</f>
        <v xml:space="preserve"> </v>
      </c>
      <c r="M63" t="str">
        <f>IF('Raw File'!K63&gt;0,'Raw File'!K63," ")</f>
        <v xml:space="preserve"> </v>
      </c>
      <c r="N63" t="str">
        <f>IF('Raw File'!L63&gt;0,'Raw File'!L63," ")</f>
        <v xml:space="preserve"> </v>
      </c>
      <c r="U63" t="str">
        <f>IF('Raw File'!Q63&gt;0,'Raw File'!Q63," ")</f>
        <v xml:space="preserve"> </v>
      </c>
      <c r="Y63" t="str">
        <f>IF('Raw File'!C63&gt;0,'Raw File'!C63," ")</f>
        <v xml:space="preserve"> </v>
      </c>
      <c r="Z63" t="str">
        <f>IF('Raw File'!C63&gt;0, "A", " ")</f>
        <v xml:space="preserve"> </v>
      </c>
      <c r="AA63" t="str">
        <f>IF('Raw File'!C63&gt;0, "F", " ")</f>
        <v xml:space="preserve"> </v>
      </c>
      <c r="AB63" t="str">
        <f>IF('Raw File'!H63&gt;0,'Raw File'!H63," ")</f>
        <v xml:space="preserve"> </v>
      </c>
      <c r="AC63" s="11" t="str">
        <f>IF('Raw File'!C63&gt;0,IF(WhatColor('Raw File'!C63)&gt;10,8810,8018)," ")</f>
        <v xml:space="preserve"> </v>
      </c>
      <c r="AD63" s="1" t="str">
        <f>IF('Raw File'!C63&gt;0,'Raw File'!A63," ")</f>
        <v xml:space="preserve"> </v>
      </c>
      <c r="AE63" s="1" t="str">
        <f>IF('Raw File'!C63&gt;0,'Raw File'!A63," ")</f>
        <v xml:space="preserve"> </v>
      </c>
      <c r="AF63" s="1" t="str">
        <f>IF('Raw File'!C63&gt;0,'Raw File'!A63," ")</f>
        <v xml:space="preserve"> </v>
      </c>
      <c r="AG63" t="str">
        <f>IF('Raw File'!C63&gt;0,'Raw File'!C63, " ")</f>
        <v xml:space="preserve"> </v>
      </c>
      <c r="AQ63" t="str">
        <f>IF('Raw File'!G63&gt;0, IF('Raw File'!G63&lt;100, "H", "S"), " ")</f>
        <v xml:space="preserve"> </v>
      </c>
      <c r="AR63" t="str">
        <f>IF('Raw File'!G63&gt;0,'Raw File'!G63," ")</f>
        <v xml:space="preserve"> </v>
      </c>
      <c r="AT63" t="str">
        <f>IF('Raw File'!C63&gt;0,40," ")</f>
        <v xml:space="preserve"> </v>
      </c>
      <c r="AV63" t="str">
        <f>IF('Raw File'!N63= 0, " ", IF('Raw File'!N63="S", "SS", IF( 'Raw File'!N63= "M", "MJ", IF('Raw File'!N63= "H", "H"))))</f>
        <v xml:space="preserve"> </v>
      </c>
      <c r="AW63" s="12"/>
      <c r="AX63" t="str">
        <f>LEFT('Raw File'!P63,1)</f>
        <v/>
      </c>
      <c r="AY63" t="str">
        <f>LEFT('Raw File'!N63,1)</f>
        <v/>
      </c>
      <c r="AZ63">
        <f>IF('Raw File'!O63="exempt",99,IF('Raw File'!O63&gt;0,'Raw File'!O63/2000,IF('Raw File'!O63=0,'Raw File'!O63," ")))</f>
        <v>0</v>
      </c>
      <c r="BA63" t="str">
        <f>LEFT('Raw File'!P63,1)</f>
        <v/>
      </c>
      <c r="BJ63" t="str">
        <f>IF('Raw File'!C63&gt;0,"1"," ")</f>
        <v xml:space="preserve"> </v>
      </c>
      <c r="BX63" t="str">
        <f>IF('Raw File'!C63&gt;0,"WEEKLY"," ")</f>
        <v xml:space="preserve"> </v>
      </c>
      <c r="CA63" t="str">
        <f>IF('Raw File'!C63&gt;0, "N"," ")</f>
        <v xml:space="preserve"> </v>
      </c>
      <c r="CI63" t="str">
        <f>IF('Raw File'!C63&gt;0, "W", " ")</f>
        <v xml:space="preserve"> </v>
      </c>
      <c r="DN63" s="1" t="str">
        <f>IF('Raw File'!C63&gt;0,'Raw File'!A63," ")</f>
        <v xml:space="preserve"> </v>
      </c>
      <c r="GY63">
        <f>IF('Raw File'!O63=" "," ",IF('Raw File'!O63&gt;100,'Raw File'!O63,IF('Raw File'!O63="exempt","99999",IF('Raw File'!O63&lt;100, 'Raw File'!O63*2000, " "))))</f>
        <v>0</v>
      </c>
      <c r="HQ63" t="str">
        <f>IF('Raw File'!C63&gt;0,"1"," ")</f>
        <v xml:space="preserve"> </v>
      </c>
    </row>
    <row r="64" spans="1:225" x14ac:dyDescent="0.35">
      <c r="A64" t="str">
        <f>IF('Raw File'!E64&gt;0,'Raw File'!E64, " ")</f>
        <v xml:space="preserve"> </v>
      </c>
      <c r="B64" t="str">
        <f>IF('Raw File'!D64&gt;0,'Raw File'!D64," ")</f>
        <v xml:space="preserve"> </v>
      </c>
      <c r="C64" t="str">
        <f>IF('Raw File'!F64&gt;0,'Raw File'!F64, " ")</f>
        <v xml:space="preserve"> </v>
      </c>
      <c r="D64" s="1" t="str">
        <f>IF('Raw File'!R64&gt;0,'Raw File'!R64, " ")</f>
        <v xml:space="preserve"> </v>
      </c>
      <c r="E64" t="str">
        <f>IF('Raw File'!C64&gt;0, 296, " ")</f>
        <v xml:space="preserve"> </v>
      </c>
      <c r="F64" s="10" t="str">
        <f>IF('Raw File'!C64&gt;0, "5", " ")</f>
        <v xml:space="preserve"> </v>
      </c>
      <c r="G64" t="str">
        <f>IF('Raw File'!C64&gt;0, "X", " ")</f>
        <v xml:space="preserve"> </v>
      </c>
      <c r="H64" t="str">
        <f>IF('Raw File'!N64="H", "S", LEFT('Raw File'!N64, 1))</f>
        <v/>
      </c>
      <c r="J64" t="str">
        <f>IF('Raw File'!J64&gt;0,'Raw File'!J64," ")</f>
        <v xml:space="preserve"> </v>
      </c>
      <c r="L64" t="str">
        <f>IF('Raw File'!M64&gt;0,'Raw File'!M64," ")</f>
        <v xml:space="preserve"> </v>
      </c>
      <c r="M64" t="str">
        <f>IF('Raw File'!K64&gt;0,'Raw File'!K64," ")</f>
        <v xml:space="preserve"> </v>
      </c>
      <c r="N64" t="str">
        <f>IF('Raw File'!L64&gt;0,'Raw File'!L64," ")</f>
        <v xml:space="preserve"> </v>
      </c>
      <c r="U64" t="str">
        <f>IF('Raw File'!Q64&gt;0,'Raw File'!Q64," ")</f>
        <v xml:space="preserve"> </v>
      </c>
      <c r="Y64" t="str">
        <f>IF('Raw File'!C64&gt;0,'Raw File'!C64," ")</f>
        <v xml:space="preserve"> </v>
      </c>
      <c r="Z64" t="str">
        <f>IF('Raw File'!C64&gt;0, "A", " ")</f>
        <v xml:space="preserve"> </v>
      </c>
      <c r="AA64" t="str">
        <f>IF('Raw File'!C64&gt;0, "F", " ")</f>
        <v xml:space="preserve"> </v>
      </c>
      <c r="AB64" t="str">
        <f>IF('Raw File'!H64&gt;0,'Raw File'!H64," ")</f>
        <v xml:space="preserve"> </v>
      </c>
      <c r="AC64" s="11" t="str">
        <f>IF('Raw File'!C64&gt;0,IF(WhatColor('Raw File'!C64)&gt;10,8810,8018)," ")</f>
        <v xml:space="preserve"> </v>
      </c>
      <c r="AD64" s="1" t="str">
        <f>IF('Raw File'!C64&gt;0,'Raw File'!A64," ")</f>
        <v xml:space="preserve"> </v>
      </c>
      <c r="AE64" s="1" t="str">
        <f>IF('Raw File'!C64&gt;0,'Raw File'!A64," ")</f>
        <v xml:space="preserve"> </v>
      </c>
      <c r="AF64" s="1" t="str">
        <f>IF('Raw File'!C64&gt;0,'Raw File'!A64," ")</f>
        <v xml:space="preserve"> </v>
      </c>
      <c r="AG64" t="str">
        <f>IF('Raw File'!C64&gt;0,'Raw File'!C64, " ")</f>
        <v xml:space="preserve"> </v>
      </c>
      <c r="AQ64" t="str">
        <f>IF('Raw File'!G64&gt;0, IF('Raw File'!G64&lt;100, "H", "S"), " ")</f>
        <v xml:space="preserve"> </v>
      </c>
      <c r="AR64" t="str">
        <f>IF('Raw File'!G64&gt;0,'Raw File'!G64," ")</f>
        <v xml:space="preserve"> </v>
      </c>
      <c r="AT64" t="str">
        <f>IF('Raw File'!C64&gt;0,40," ")</f>
        <v xml:space="preserve"> </v>
      </c>
      <c r="AV64" t="str">
        <f>IF('Raw File'!N64= 0, " ", IF('Raw File'!N64="S", "SS", IF( 'Raw File'!N64= "M", "MJ", IF('Raw File'!N64= "H", "H"))))</f>
        <v xml:space="preserve"> </v>
      </c>
      <c r="AW64" s="12"/>
      <c r="AX64" t="str">
        <f>LEFT('Raw File'!P64,1)</f>
        <v/>
      </c>
      <c r="AY64" t="str">
        <f>LEFT('Raw File'!N64,1)</f>
        <v/>
      </c>
      <c r="AZ64">
        <f>IF('Raw File'!O64="exempt",99,IF('Raw File'!O64&gt;0,'Raw File'!O64/2000,IF('Raw File'!O64=0,'Raw File'!O64," ")))</f>
        <v>0</v>
      </c>
      <c r="BA64" t="str">
        <f>LEFT('Raw File'!P64,1)</f>
        <v/>
      </c>
      <c r="BJ64" t="str">
        <f>IF('Raw File'!C64&gt;0,"1"," ")</f>
        <v xml:space="preserve"> </v>
      </c>
      <c r="BX64" t="str">
        <f>IF('Raw File'!C64&gt;0,"WEEKLY"," ")</f>
        <v xml:space="preserve"> </v>
      </c>
      <c r="CA64" t="str">
        <f>IF('Raw File'!C64&gt;0, "N"," ")</f>
        <v xml:space="preserve"> </v>
      </c>
      <c r="CI64" t="str">
        <f>IF('Raw File'!C64&gt;0, "W", " ")</f>
        <v xml:space="preserve"> </v>
      </c>
      <c r="DN64" s="1" t="str">
        <f>IF('Raw File'!C64&gt;0,'Raw File'!A64," ")</f>
        <v xml:space="preserve"> </v>
      </c>
      <c r="GY64">
        <f>IF('Raw File'!O64=" "," ",IF('Raw File'!O64&gt;100,'Raw File'!O64,IF('Raw File'!O64="exempt","99999",IF('Raw File'!O64&lt;100, 'Raw File'!O64*2000, " "))))</f>
        <v>0</v>
      </c>
      <c r="HQ64" t="str">
        <f>IF('Raw File'!C64&gt;0,"1"," ")</f>
        <v xml:space="preserve"> </v>
      </c>
    </row>
    <row r="65" spans="1:225" x14ac:dyDescent="0.35">
      <c r="A65" t="str">
        <f>IF('Raw File'!E65&gt;0,'Raw File'!E65, " ")</f>
        <v xml:space="preserve"> </v>
      </c>
      <c r="B65" t="str">
        <f>IF('Raw File'!D65&gt;0,'Raw File'!D65," ")</f>
        <v xml:space="preserve"> </v>
      </c>
      <c r="C65" t="str">
        <f>IF('Raw File'!F65&gt;0,'Raw File'!F65, " ")</f>
        <v xml:space="preserve"> </v>
      </c>
      <c r="D65" s="1" t="str">
        <f>IF('Raw File'!R65&gt;0,'Raw File'!R65, " ")</f>
        <v xml:space="preserve"> </v>
      </c>
      <c r="E65" t="str">
        <f>IF('Raw File'!C65&gt;0, 296, " ")</f>
        <v xml:space="preserve"> </v>
      </c>
      <c r="F65" s="10" t="str">
        <f>IF('Raw File'!C65&gt;0, "5", " ")</f>
        <v xml:space="preserve"> </v>
      </c>
      <c r="G65" t="str">
        <f>IF('Raw File'!C65&gt;0, "X", " ")</f>
        <v xml:space="preserve"> </v>
      </c>
      <c r="H65" t="str">
        <f>IF('Raw File'!N65="H", "S", LEFT('Raw File'!N65, 1))</f>
        <v/>
      </c>
      <c r="J65" t="str">
        <f>IF('Raw File'!J65&gt;0,'Raw File'!J65," ")</f>
        <v xml:space="preserve"> </v>
      </c>
      <c r="L65" t="str">
        <f>IF('Raw File'!M65&gt;0,'Raw File'!M65," ")</f>
        <v xml:space="preserve"> </v>
      </c>
      <c r="M65" t="str">
        <f>IF('Raw File'!K65&gt;0,'Raw File'!K65," ")</f>
        <v xml:space="preserve"> </v>
      </c>
      <c r="N65" t="str">
        <f>IF('Raw File'!L65&gt;0,'Raw File'!L65," ")</f>
        <v xml:space="preserve"> </v>
      </c>
      <c r="U65" t="str">
        <f>IF('Raw File'!Q65&gt;0,'Raw File'!Q65," ")</f>
        <v xml:space="preserve"> </v>
      </c>
      <c r="Y65" t="str">
        <f>IF('Raw File'!C65&gt;0,'Raw File'!C65," ")</f>
        <v xml:space="preserve"> </v>
      </c>
      <c r="Z65" t="str">
        <f>IF('Raw File'!C65&gt;0, "A", " ")</f>
        <v xml:space="preserve"> </v>
      </c>
      <c r="AA65" t="str">
        <f>IF('Raw File'!C65&gt;0, "F", " ")</f>
        <v xml:space="preserve"> </v>
      </c>
      <c r="AB65" t="str">
        <f>IF('Raw File'!H65&gt;0,'Raw File'!H65," ")</f>
        <v xml:space="preserve"> </v>
      </c>
      <c r="AC65" s="11" t="str">
        <f>IF('Raw File'!C65&gt;0,IF(WhatColor('Raw File'!C65)&gt;10,8810,8018)," ")</f>
        <v xml:space="preserve"> </v>
      </c>
      <c r="AD65" s="1" t="str">
        <f>IF('Raw File'!C65&gt;0,'Raw File'!A65," ")</f>
        <v xml:space="preserve"> </v>
      </c>
      <c r="AE65" s="1" t="str">
        <f>IF('Raw File'!C65&gt;0,'Raw File'!A65," ")</f>
        <v xml:space="preserve"> </v>
      </c>
      <c r="AF65" s="1" t="str">
        <f>IF('Raw File'!C65&gt;0,'Raw File'!A65," ")</f>
        <v xml:space="preserve"> </v>
      </c>
      <c r="AG65" t="str">
        <f>IF('Raw File'!C65&gt;0,'Raw File'!C65, " ")</f>
        <v xml:space="preserve"> </v>
      </c>
      <c r="AQ65" t="str">
        <f>IF('Raw File'!G65&gt;0, IF('Raw File'!G65&lt;100, "H", "S"), " ")</f>
        <v xml:space="preserve"> </v>
      </c>
      <c r="AR65" t="str">
        <f>IF('Raw File'!G65&gt;0,'Raw File'!G65," ")</f>
        <v xml:space="preserve"> </v>
      </c>
      <c r="AT65" t="str">
        <f>IF('Raw File'!C65&gt;0,40," ")</f>
        <v xml:space="preserve"> </v>
      </c>
      <c r="AV65" t="str">
        <f>IF('Raw File'!N65= 0, " ", IF('Raw File'!N65="S", "SS", IF( 'Raw File'!N65= "M", "MJ", IF('Raw File'!N65= "H", "H"))))</f>
        <v xml:space="preserve"> </v>
      </c>
      <c r="AW65" s="12"/>
      <c r="AX65" t="str">
        <f>LEFT('Raw File'!P65,1)</f>
        <v/>
      </c>
      <c r="AY65" t="str">
        <f>LEFT('Raw File'!N65,1)</f>
        <v/>
      </c>
      <c r="AZ65">
        <f>IF('Raw File'!O65="exempt",99,IF('Raw File'!O65&gt;0,'Raw File'!O65/2000,IF('Raw File'!O65=0,'Raw File'!O65," ")))</f>
        <v>0</v>
      </c>
      <c r="BA65" t="str">
        <f>LEFT('Raw File'!P65,1)</f>
        <v/>
      </c>
      <c r="BJ65" t="str">
        <f>IF('Raw File'!C65&gt;0,"1"," ")</f>
        <v xml:space="preserve"> </v>
      </c>
      <c r="BX65" t="str">
        <f>IF('Raw File'!C65&gt;0,"WEEKLY"," ")</f>
        <v xml:space="preserve"> </v>
      </c>
      <c r="CA65" t="str">
        <f>IF('Raw File'!C65&gt;0, "N"," ")</f>
        <v xml:space="preserve"> </v>
      </c>
      <c r="CI65" t="str">
        <f>IF('Raw File'!C65&gt;0, "W", " ")</f>
        <v xml:space="preserve"> </v>
      </c>
      <c r="DN65" s="1" t="str">
        <f>IF('Raw File'!C65&gt;0,'Raw File'!A65," ")</f>
        <v xml:space="preserve"> </v>
      </c>
      <c r="GY65">
        <f>IF('Raw File'!O65=" "," ",IF('Raw File'!O65&gt;100,'Raw File'!O65,IF('Raw File'!O65="exempt","99999",IF('Raw File'!O65&lt;100, 'Raw File'!O65*2000, " "))))</f>
        <v>0</v>
      </c>
      <c r="HQ65" t="str">
        <f>IF('Raw File'!C65&gt;0,"1"," ")</f>
        <v xml:space="preserve"> </v>
      </c>
    </row>
    <row r="66" spans="1:225" x14ac:dyDescent="0.35">
      <c r="A66" t="str">
        <f>IF('Raw File'!E66&gt;0,'Raw File'!E66, " ")</f>
        <v xml:space="preserve"> </v>
      </c>
      <c r="B66" t="str">
        <f>IF('Raw File'!D66&gt;0,'Raw File'!D66," ")</f>
        <v xml:space="preserve"> </v>
      </c>
      <c r="C66" t="str">
        <f>IF('Raw File'!F66&gt;0,'Raw File'!F66, " ")</f>
        <v xml:space="preserve"> </v>
      </c>
      <c r="D66" s="1" t="str">
        <f>IF('Raw File'!R66&gt;0,'Raw File'!R66, " ")</f>
        <v xml:space="preserve"> </v>
      </c>
      <c r="E66" t="str">
        <f>IF('Raw File'!C66&gt;0, 296, " ")</f>
        <v xml:space="preserve"> </v>
      </c>
      <c r="F66" s="10" t="str">
        <f>IF('Raw File'!C66&gt;0, "5", " ")</f>
        <v xml:space="preserve"> </v>
      </c>
      <c r="G66" t="str">
        <f>IF('Raw File'!C66&gt;0, "X", " ")</f>
        <v xml:space="preserve"> </v>
      </c>
      <c r="H66" t="str">
        <f>IF('Raw File'!N66="H", "S", LEFT('Raw File'!N66, 1))</f>
        <v/>
      </c>
      <c r="J66" t="str">
        <f>IF('Raw File'!J66&gt;0,'Raw File'!J66," ")</f>
        <v xml:space="preserve"> </v>
      </c>
      <c r="L66" t="str">
        <f>IF('Raw File'!M66&gt;0,'Raw File'!M66," ")</f>
        <v xml:space="preserve"> </v>
      </c>
      <c r="M66" t="str">
        <f>IF('Raw File'!K66&gt;0,'Raw File'!K66," ")</f>
        <v xml:space="preserve"> </v>
      </c>
      <c r="N66" t="str">
        <f>IF('Raw File'!L66&gt;0,'Raw File'!L66," ")</f>
        <v xml:space="preserve"> </v>
      </c>
      <c r="U66" t="str">
        <f>IF('Raw File'!Q66&gt;0,'Raw File'!Q66," ")</f>
        <v xml:space="preserve"> </v>
      </c>
      <c r="Y66" t="str">
        <f>IF('Raw File'!C66&gt;0,'Raw File'!C66," ")</f>
        <v xml:space="preserve"> </v>
      </c>
      <c r="Z66" t="str">
        <f>IF('Raw File'!C66&gt;0, "A", " ")</f>
        <v xml:space="preserve"> </v>
      </c>
      <c r="AA66" t="str">
        <f>IF('Raw File'!C66&gt;0, "F", " ")</f>
        <v xml:space="preserve"> </v>
      </c>
      <c r="AB66" t="str">
        <f>IF('Raw File'!H66&gt;0,'Raw File'!H66," ")</f>
        <v xml:space="preserve"> </v>
      </c>
      <c r="AC66" s="11" t="str">
        <f>IF('Raw File'!C66&gt;0,IF(WhatColor('Raw File'!C66)&gt;10,8810,8018)," ")</f>
        <v xml:space="preserve"> </v>
      </c>
      <c r="AD66" s="1" t="str">
        <f>IF('Raw File'!C66&gt;0,'Raw File'!A66," ")</f>
        <v xml:space="preserve"> </v>
      </c>
      <c r="AE66" s="1" t="str">
        <f>IF('Raw File'!C66&gt;0,'Raw File'!A66," ")</f>
        <v xml:space="preserve"> </v>
      </c>
      <c r="AF66" s="1" t="str">
        <f>IF('Raw File'!C66&gt;0,'Raw File'!A66," ")</f>
        <v xml:space="preserve"> </v>
      </c>
      <c r="AG66" t="str">
        <f>IF('Raw File'!C66&gt;0,'Raw File'!C66, " ")</f>
        <v xml:space="preserve"> </v>
      </c>
      <c r="AQ66" t="str">
        <f>IF('Raw File'!G66&gt;0, IF('Raw File'!G66&lt;100, "H", "S"), " ")</f>
        <v xml:space="preserve"> </v>
      </c>
      <c r="AR66" t="str">
        <f>IF('Raw File'!G66&gt;0,'Raw File'!G66," ")</f>
        <v xml:space="preserve"> </v>
      </c>
      <c r="AT66" t="str">
        <f>IF('Raw File'!C66&gt;0,40," ")</f>
        <v xml:space="preserve"> </v>
      </c>
      <c r="AV66" t="str">
        <f>IF('Raw File'!N66= 0, " ", IF('Raw File'!N66="S", "SS", IF( 'Raw File'!N66= "M", "MJ", IF('Raw File'!N66= "H", "H"))))</f>
        <v xml:space="preserve"> </v>
      </c>
      <c r="AW66" s="12"/>
      <c r="AX66" t="str">
        <f>LEFT('Raw File'!P66,1)</f>
        <v/>
      </c>
      <c r="AY66" t="str">
        <f>LEFT('Raw File'!N66,1)</f>
        <v/>
      </c>
      <c r="AZ66">
        <f>IF('Raw File'!O66="exempt",99,IF('Raw File'!O66&gt;0,'Raw File'!O66/2000,IF('Raw File'!O66=0,'Raw File'!O66," ")))</f>
        <v>0</v>
      </c>
      <c r="BA66" t="str">
        <f>LEFT('Raw File'!P66,1)</f>
        <v/>
      </c>
      <c r="BJ66" t="str">
        <f>IF('Raw File'!C66&gt;0,"1"," ")</f>
        <v xml:space="preserve"> </v>
      </c>
      <c r="BX66" t="str">
        <f>IF('Raw File'!C66&gt;0,"WEEKLY"," ")</f>
        <v xml:space="preserve"> </v>
      </c>
      <c r="CA66" t="str">
        <f>IF('Raw File'!C66&gt;0, "N"," ")</f>
        <v xml:space="preserve"> </v>
      </c>
      <c r="CI66" t="str">
        <f>IF('Raw File'!C66&gt;0, "W", " ")</f>
        <v xml:space="preserve"> </v>
      </c>
      <c r="DN66" s="1" t="str">
        <f>IF('Raw File'!C66&gt;0,'Raw File'!A66," ")</f>
        <v xml:space="preserve"> </v>
      </c>
      <c r="GY66">
        <f>IF('Raw File'!O66=" "," ",IF('Raw File'!O66&gt;100,'Raw File'!O66,IF('Raw File'!O66="exempt","99999",IF('Raw File'!O66&lt;100, 'Raw File'!O66*2000, " "))))</f>
        <v>0</v>
      </c>
      <c r="HQ66" t="str">
        <f>IF('Raw File'!C66&gt;0,"1"," ")</f>
        <v xml:space="preserve"> </v>
      </c>
    </row>
    <row r="67" spans="1:225" x14ac:dyDescent="0.35">
      <c r="A67" t="str">
        <f>IF('Raw File'!E67&gt;0,'Raw File'!E67, " ")</f>
        <v xml:space="preserve"> </v>
      </c>
      <c r="B67" t="str">
        <f>IF('Raw File'!D67&gt;0,'Raw File'!D67," ")</f>
        <v xml:space="preserve"> </v>
      </c>
      <c r="C67" t="str">
        <f>IF('Raw File'!F67&gt;0,'Raw File'!F67, " ")</f>
        <v xml:space="preserve"> </v>
      </c>
      <c r="D67" s="1" t="str">
        <f>IF('Raw File'!R67&gt;0,'Raw File'!R67, " ")</f>
        <v xml:space="preserve"> </v>
      </c>
      <c r="E67" t="str">
        <f>IF('Raw File'!C67&gt;0, 296, " ")</f>
        <v xml:space="preserve"> </v>
      </c>
      <c r="F67" s="10" t="str">
        <f>IF('Raw File'!C67&gt;0, "5", " ")</f>
        <v xml:space="preserve"> </v>
      </c>
      <c r="G67" t="str">
        <f>IF('Raw File'!C67&gt;0, "X", " ")</f>
        <v xml:space="preserve"> </v>
      </c>
      <c r="H67" t="str">
        <f>IF('Raw File'!N67="H", "S", LEFT('Raw File'!N67, 1))</f>
        <v/>
      </c>
      <c r="J67" t="str">
        <f>IF('Raw File'!J67&gt;0,'Raw File'!J67," ")</f>
        <v xml:space="preserve"> </v>
      </c>
      <c r="L67" t="str">
        <f>IF('Raw File'!M67&gt;0,'Raw File'!M67," ")</f>
        <v xml:space="preserve"> </v>
      </c>
      <c r="M67" t="str">
        <f>IF('Raw File'!K67&gt;0,'Raw File'!K67," ")</f>
        <v xml:space="preserve"> </v>
      </c>
      <c r="N67" t="str">
        <f>IF('Raw File'!L67&gt;0,'Raw File'!L67," ")</f>
        <v xml:space="preserve"> </v>
      </c>
      <c r="U67" t="str">
        <f>IF('Raw File'!Q67&gt;0,'Raw File'!Q67," ")</f>
        <v xml:space="preserve"> </v>
      </c>
      <c r="Y67" t="str">
        <f>IF('Raw File'!C67&gt;0,'Raw File'!C67," ")</f>
        <v xml:space="preserve"> </v>
      </c>
      <c r="Z67" t="str">
        <f>IF('Raw File'!C67&gt;0, "A", " ")</f>
        <v xml:space="preserve"> </v>
      </c>
      <c r="AA67" t="str">
        <f>IF('Raw File'!C67&gt;0, "F", " ")</f>
        <v xml:space="preserve"> </v>
      </c>
      <c r="AB67" t="str">
        <f>IF('Raw File'!H67&gt;0,'Raw File'!H67," ")</f>
        <v xml:space="preserve"> </v>
      </c>
      <c r="AC67" s="11" t="str">
        <f>IF('Raw File'!C67&gt;0,IF(WhatColor('Raw File'!C67)&gt;10,8810,8018)," ")</f>
        <v xml:space="preserve"> </v>
      </c>
      <c r="AD67" s="1" t="str">
        <f>IF('Raw File'!C67&gt;0,'Raw File'!A67," ")</f>
        <v xml:space="preserve"> </v>
      </c>
      <c r="AE67" s="1" t="str">
        <f>IF('Raw File'!C67&gt;0,'Raw File'!A67," ")</f>
        <v xml:space="preserve"> </v>
      </c>
      <c r="AF67" s="1" t="str">
        <f>IF('Raw File'!C67&gt;0,'Raw File'!A67," ")</f>
        <v xml:space="preserve"> </v>
      </c>
      <c r="AG67" t="str">
        <f>IF('Raw File'!C67&gt;0,'Raw File'!C67, " ")</f>
        <v xml:space="preserve"> </v>
      </c>
      <c r="AQ67" t="str">
        <f>IF('Raw File'!G67&gt;0, IF('Raw File'!G67&lt;100, "H", "S"), " ")</f>
        <v xml:space="preserve"> </v>
      </c>
      <c r="AR67" t="str">
        <f>IF('Raw File'!G67&gt;0,'Raw File'!G67," ")</f>
        <v xml:space="preserve"> </v>
      </c>
      <c r="AT67" t="str">
        <f>IF('Raw File'!C67&gt;0,40," ")</f>
        <v xml:space="preserve"> </v>
      </c>
      <c r="AV67" t="str">
        <f>IF('Raw File'!N67= 0, " ", IF('Raw File'!N67="S", "SS", IF( 'Raw File'!N67= "M", "MJ", IF('Raw File'!N67= "H", "H"))))</f>
        <v xml:space="preserve"> </v>
      </c>
      <c r="AW67" s="12"/>
      <c r="AX67" t="str">
        <f>LEFT('Raw File'!P67,1)</f>
        <v/>
      </c>
      <c r="AY67" t="str">
        <f>LEFT('Raw File'!N67,1)</f>
        <v/>
      </c>
      <c r="AZ67">
        <f>IF('Raw File'!O67="exempt",99,IF('Raw File'!O67&gt;0,'Raw File'!O67/2000,IF('Raw File'!O67=0,'Raw File'!O67," ")))</f>
        <v>0</v>
      </c>
      <c r="BA67" t="str">
        <f>LEFT('Raw File'!P67,1)</f>
        <v/>
      </c>
      <c r="BJ67" t="str">
        <f>IF('Raw File'!C67&gt;0,"1"," ")</f>
        <v xml:space="preserve"> </v>
      </c>
      <c r="BX67" t="str">
        <f>IF('Raw File'!C67&gt;0,"WEEKLY"," ")</f>
        <v xml:space="preserve"> </v>
      </c>
      <c r="CA67" t="str">
        <f>IF('Raw File'!C67&gt;0, "N"," ")</f>
        <v xml:space="preserve"> </v>
      </c>
      <c r="CI67" t="str">
        <f>IF('Raw File'!C67&gt;0, "W", " ")</f>
        <v xml:space="preserve"> </v>
      </c>
      <c r="DN67" s="1" t="str">
        <f>IF('Raw File'!C67&gt;0,'Raw File'!A67," ")</f>
        <v xml:space="preserve"> </v>
      </c>
      <c r="GY67">
        <f>IF('Raw File'!O67=" "," ",IF('Raw File'!O67&gt;100,'Raw File'!O67,IF('Raw File'!O67="exempt","99999",IF('Raw File'!O67&lt;100, 'Raw File'!O67*2000, " "))))</f>
        <v>0</v>
      </c>
      <c r="HQ67" t="str">
        <f>IF('Raw File'!C67&gt;0,"1"," ")</f>
        <v xml:space="preserve"> </v>
      </c>
    </row>
    <row r="68" spans="1:225" x14ac:dyDescent="0.35">
      <c r="A68" t="str">
        <f>IF('Raw File'!E68&gt;0,'Raw File'!E68, " ")</f>
        <v xml:space="preserve"> </v>
      </c>
      <c r="B68" t="str">
        <f>IF('Raw File'!D68&gt;0,'Raw File'!D68," ")</f>
        <v xml:space="preserve"> </v>
      </c>
      <c r="C68" t="str">
        <f>IF('Raw File'!F68&gt;0,'Raw File'!F68, " ")</f>
        <v xml:space="preserve"> </v>
      </c>
      <c r="D68" s="1" t="str">
        <f>IF('Raw File'!R68&gt;0,'Raw File'!R68, " ")</f>
        <v xml:space="preserve"> </v>
      </c>
      <c r="E68" t="str">
        <f>IF('Raw File'!C68&gt;0, 296, " ")</f>
        <v xml:space="preserve"> </v>
      </c>
      <c r="F68" s="10" t="str">
        <f>IF('Raw File'!C68&gt;0, "5", " ")</f>
        <v xml:space="preserve"> </v>
      </c>
      <c r="G68" t="str">
        <f>IF('Raw File'!C68&gt;0, "X", " ")</f>
        <v xml:space="preserve"> </v>
      </c>
      <c r="H68" t="str">
        <f>IF('Raw File'!N68="H", "S", LEFT('Raw File'!N68, 1))</f>
        <v/>
      </c>
      <c r="J68" t="str">
        <f>IF('Raw File'!J68&gt;0,'Raw File'!J68," ")</f>
        <v xml:space="preserve"> </v>
      </c>
      <c r="L68" t="str">
        <f>IF('Raw File'!M68&gt;0,'Raw File'!M68," ")</f>
        <v xml:space="preserve"> </v>
      </c>
      <c r="M68" t="str">
        <f>IF('Raw File'!K68&gt;0,'Raw File'!K68," ")</f>
        <v xml:space="preserve"> </v>
      </c>
      <c r="N68" t="str">
        <f>IF('Raw File'!L68&gt;0,'Raw File'!L68," ")</f>
        <v xml:space="preserve"> </v>
      </c>
      <c r="U68" t="str">
        <f>IF('Raw File'!Q68&gt;0,'Raw File'!Q68," ")</f>
        <v xml:space="preserve"> </v>
      </c>
      <c r="Y68" t="str">
        <f>IF('Raw File'!C68&gt;0,'Raw File'!C68," ")</f>
        <v xml:space="preserve"> </v>
      </c>
      <c r="Z68" t="str">
        <f>IF('Raw File'!C68&gt;0, "A", " ")</f>
        <v xml:space="preserve"> </v>
      </c>
      <c r="AA68" t="str">
        <f>IF('Raw File'!C68&gt;0, "F", " ")</f>
        <v xml:space="preserve"> </v>
      </c>
      <c r="AB68" t="str">
        <f>IF('Raw File'!H68&gt;0,'Raw File'!H68," ")</f>
        <v xml:space="preserve"> </v>
      </c>
      <c r="AC68" s="11" t="str">
        <f>IF('Raw File'!C68&gt;0,IF(WhatColor('Raw File'!C68)&gt;10,8810,8018)," ")</f>
        <v xml:space="preserve"> </v>
      </c>
      <c r="AD68" s="1" t="str">
        <f>IF('Raw File'!C68&gt;0,'Raw File'!A68," ")</f>
        <v xml:space="preserve"> </v>
      </c>
      <c r="AE68" s="1" t="str">
        <f>IF('Raw File'!C68&gt;0,'Raw File'!A68," ")</f>
        <v xml:space="preserve"> </v>
      </c>
      <c r="AF68" s="1" t="str">
        <f>IF('Raw File'!C68&gt;0,'Raw File'!A68," ")</f>
        <v xml:space="preserve"> </v>
      </c>
      <c r="AG68" t="str">
        <f>IF('Raw File'!C68&gt;0,'Raw File'!C68, " ")</f>
        <v xml:space="preserve"> </v>
      </c>
      <c r="AQ68" t="str">
        <f>IF('Raw File'!G68&gt;0, IF('Raw File'!G68&lt;100, "H", "S"), " ")</f>
        <v xml:space="preserve"> </v>
      </c>
      <c r="AR68" t="str">
        <f>IF('Raw File'!G68&gt;0,'Raw File'!G68," ")</f>
        <v xml:space="preserve"> </v>
      </c>
      <c r="AT68" t="str">
        <f>IF('Raw File'!C68&gt;0,40," ")</f>
        <v xml:space="preserve"> </v>
      </c>
      <c r="AV68" t="str">
        <f>IF('Raw File'!N68= 0, " ", IF('Raw File'!N68="S", "SS", IF( 'Raw File'!N68= "M", "MJ", IF('Raw File'!N68= "H", "H"))))</f>
        <v xml:space="preserve"> </v>
      </c>
      <c r="AW68" s="12"/>
      <c r="AX68" t="str">
        <f>LEFT('Raw File'!P68,1)</f>
        <v/>
      </c>
      <c r="AY68" t="str">
        <f>LEFT('Raw File'!N68,1)</f>
        <v/>
      </c>
      <c r="AZ68">
        <f>IF('Raw File'!O68="exempt",99,IF('Raw File'!O68&gt;0,'Raw File'!O68/2000,IF('Raw File'!O68=0,'Raw File'!O68," ")))</f>
        <v>0</v>
      </c>
      <c r="BA68" t="str">
        <f>LEFT('Raw File'!P68,1)</f>
        <v/>
      </c>
      <c r="BJ68" t="str">
        <f>IF('Raw File'!C68&gt;0,"1"," ")</f>
        <v xml:space="preserve"> </v>
      </c>
      <c r="BX68" t="str">
        <f>IF('Raw File'!C68&gt;0,"WEEKLY"," ")</f>
        <v xml:space="preserve"> </v>
      </c>
      <c r="CA68" t="str">
        <f>IF('Raw File'!C68&gt;0, "N"," ")</f>
        <v xml:space="preserve"> </v>
      </c>
      <c r="CI68" t="str">
        <f>IF('Raw File'!C68&gt;0, "W", " ")</f>
        <v xml:space="preserve"> </v>
      </c>
      <c r="DN68" s="1" t="str">
        <f>IF('Raw File'!C68&gt;0,'Raw File'!A68," ")</f>
        <v xml:space="preserve"> </v>
      </c>
      <c r="GY68">
        <f>IF('Raw File'!O68=" "," ",IF('Raw File'!O68&gt;100,'Raw File'!O68,IF('Raw File'!O68="exempt","99999",IF('Raw File'!O68&lt;100, 'Raw File'!O68*2000, " "))))</f>
        <v>0</v>
      </c>
      <c r="HQ68" t="str">
        <f>IF('Raw File'!C68&gt;0,"1"," ")</f>
        <v xml:space="preserve"> </v>
      </c>
    </row>
    <row r="69" spans="1:225" x14ac:dyDescent="0.35">
      <c r="A69" t="str">
        <f>IF('Raw File'!E69&gt;0,'Raw File'!E69, " ")</f>
        <v xml:space="preserve"> </v>
      </c>
      <c r="B69" t="str">
        <f>IF('Raw File'!D69&gt;0,'Raw File'!D69," ")</f>
        <v xml:space="preserve"> </v>
      </c>
      <c r="C69" t="str">
        <f>IF('Raw File'!F69&gt;0,'Raw File'!F69, " ")</f>
        <v xml:space="preserve"> </v>
      </c>
      <c r="D69" s="1" t="str">
        <f>IF('Raw File'!R69&gt;0,'Raw File'!R69, " ")</f>
        <v xml:space="preserve"> </v>
      </c>
      <c r="E69" t="str">
        <f>IF('Raw File'!C69&gt;0, 296, " ")</f>
        <v xml:space="preserve"> </v>
      </c>
      <c r="F69" s="10" t="str">
        <f>IF('Raw File'!C69&gt;0, "5", " ")</f>
        <v xml:space="preserve"> </v>
      </c>
      <c r="G69" t="str">
        <f>IF('Raw File'!C69&gt;0, "X", " ")</f>
        <v xml:space="preserve"> </v>
      </c>
      <c r="H69" t="str">
        <f>IF('Raw File'!N69="H", "S", LEFT('Raw File'!N69, 1))</f>
        <v/>
      </c>
      <c r="J69" t="str">
        <f>IF('Raw File'!J69&gt;0,'Raw File'!J69," ")</f>
        <v xml:space="preserve"> </v>
      </c>
      <c r="L69" t="str">
        <f>IF('Raw File'!M69&gt;0,'Raw File'!M69," ")</f>
        <v xml:space="preserve"> </v>
      </c>
      <c r="M69" t="str">
        <f>IF('Raw File'!K69&gt;0,'Raw File'!K69," ")</f>
        <v xml:space="preserve"> </v>
      </c>
      <c r="N69" t="str">
        <f>IF('Raw File'!L69&gt;0,'Raw File'!L69," ")</f>
        <v xml:space="preserve"> </v>
      </c>
      <c r="U69" t="str">
        <f>IF('Raw File'!Q69&gt;0,'Raw File'!Q69," ")</f>
        <v xml:space="preserve"> </v>
      </c>
      <c r="Y69" t="str">
        <f>IF('Raw File'!C69&gt;0,'Raw File'!C69," ")</f>
        <v xml:space="preserve"> </v>
      </c>
      <c r="Z69" t="str">
        <f>IF('Raw File'!C69&gt;0, "A", " ")</f>
        <v xml:space="preserve"> </v>
      </c>
      <c r="AA69" t="str">
        <f>IF('Raw File'!C69&gt;0, "F", " ")</f>
        <v xml:space="preserve"> </v>
      </c>
      <c r="AB69" t="str">
        <f>IF('Raw File'!H69&gt;0,'Raw File'!H69," ")</f>
        <v xml:space="preserve"> </v>
      </c>
      <c r="AC69" s="11" t="str">
        <f>IF('Raw File'!C69&gt;0,IF(WhatColor('Raw File'!C69)&gt;10,8810,8018)," ")</f>
        <v xml:space="preserve"> </v>
      </c>
      <c r="AD69" s="1" t="str">
        <f>IF('Raw File'!C69&gt;0,'Raw File'!A69," ")</f>
        <v xml:space="preserve"> </v>
      </c>
      <c r="AE69" s="1" t="str">
        <f>IF('Raw File'!C69&gt;0,'Raw File'!A69," ")</f>
        <v xml:space="preserve"> </v>
      </c>
      <c r="AF69" s="1" t="str">
        <f>IF('Raw File'!C69&gt;0,'Raw File'!A69," ")</f>
        <v xml:space="preserve"> </v>
      </c>
      <c r="AG69" t="str">
        <f>IF('Raw File'!C69&gt;0,'Raw File'!C69, " ")</f>
        <v xml:space="preserve"> </v>
      </c>
      <c r="AQ69" t="str">
        <f>IF('Raw File'!G69&gt;0, IF('Raw File'!G69&lt;100, "H", "S"), " ")</f>
        <v xml:space="preserve"> </v>
      </c>
      <c r="AR69" t="str">
        <f>IF('Raw File'!G69&gt;0,'Raw File'!G69," ")</f>
        <v xml:space="preserve"> </v>
      </c>
      <c r="AT69" t="str">
        <f>IF('Raw File'!C69&gt;0,40," ")</f>
        <v xml:space="preserve"> </v>
      </c>
      <c r="AV69" t="str">
        <f>IF('Raw File'!N69= 0, " ", IF('Raw File'!N69="S", "SS", IF( 'Raw File'!N69= "M", "MJ", IF('Raw File'!N69= "H", "H"))))</f>
        <v xml:space="preserve"> </v>
      </c>
      <c r="AW69" s="12"/>
      <c r="AX69" t="str">
        <f>LEFT('Raw File'!P69,1)</f>
        <v/>
      </c>
      <c r="AY69" t="str">
        <f>LEFT('Raw File'!N69,1)</f>
        <v/>
      </c>
      <c r="AZ69">
        <f>IF('Raw File'!O69="exempt",99,IF('Raw File'!O69&gt;0,'Raw File'!O69/2000,IF('Raw File'!O69=0,'Raw File'!O69," ")))</f>
        <v>0</v>
      </c>
      <c r="BA69" t="str">
        <f>LEFT('Raw File'!P69,1)</f>
        <v/>
      </c>
      <c r="BJ69" t="str">
        <f>IF('Raw File'!C69&gt;0,"1"," ")</f>
        <v xml:space="preserve"> </v>
      </c>
      <c r="BX69" t="str">
        <f>IF('Raw File'!C69&gt;0,"WEEKLY"," ")</f>
        <v xml:space="preserve"> </v>
      </c>
      <c r="CA69" t="str">
        <f>IF('Raw File'!C69&gt;0, "N"," ")</f>
        <v xml:space="preserve"> </v>
      </c>
      <c r="CI69" t="str">
        <f>IF('Raw File'!C69&gt;0, "W", " ")</f>
        <v xml:space="preserve"> </v>
      </c>
      <c r="DN69" s="1" t="str">
        <f>IF('Raw File'!C69&gt;0,'Raw File'!A69," ")</f>
        <v xml:space="preserve"> </v>
      </c>
      <c r="GY69">
        <f>IF('Raw File'!O69=" "," ",IF('Raw File'!O69&gt;100,'Raw File'!O69,IF('Raw File'!O69="exempt","99999",IF('Raw File'!O69&lt;100, 'Raw File'!O69*2000, " "))))</f>
        <v>0</v>
      </c>
      <c r="HQ69" t="str">
        <f>IF('Raw File'!C69&gt;0,"1"," ")</f>
        <v xml:space="preserve"> </v>
      </c>
    </row>
    <row r="70" spans="1:225" x14ac:dyDescent="0.35">
      <c r="A70" t="str">
        <f>IF('Raw File'!E70&gt;0,'Raw File'!E70, " ")</f>
        <v xml:space="preserve"> </v>
      </c>
      <c r="B70" t="str">
        <f>IF('Raw File'!D70&gt;0,'Raw File'!D70," ")</f>
        <v xml:space="preserve"> </v>
      </c>
      <c r="C70" t="str">
        <f>IF('Raw File'!F70&gt;0,'Raw File'!F70, " ")</f>
        <v xml:space="preserve"> </v>
      </c>
      <c r="D70" s="1" t="str">
        <f>IF('Raw File'!R70&gt;0,'Raw File'!R70, " ")</f>
        <v xml:space="preserve"> </v>
      </c>
      <c r="E70" t="str">
        <f>IF('Raw File'!C70&gt;0, 296, " ")</f>
        <v xml:space="preserve"> </v>
      </c>
      <c r="F70" s="10" t="str">
        <f>IF('Raw File'!C70&gt;0, "5", " ")</f>
        <v xml:space="preserve"> </v>
      </c>
      <c r="G70" t="str">
        <f>IF('Raw File'!C70&gt;0, "X", " ")</f>
        <v xml:space="preserve"> </v>
      </c>
      <c r="H70" t="str">
        <f>IF('Raw File'!N70="H", "S", LEFT('Raw File'!N70, 1))</f>
        <v/>
      </c>
      <c r="J70" t="str">
        <f>IF('Raw File'!J70&gt;0,'Raw File'!J70," ")</f>
        <v xml:space="preserve"> </v>
      </c>
      <c r="L70" t="str">
        <f>IF('Raw File'!M70&gt;0,'Raw File'!M70," ")</f>
        <v xml:space="preserve"> </v>
      </c>
      <c r="M70" t="str">
        <f>IF('Raw File'!K70&gt;0,'Raw File'!K70," ")</f>
        <v xml:space="preserve"> </v>
      </c>
      <c r="N70" t="str">
        <f>IF('Raw File'!L70&gt;0,'Raw File'!L70," ")</f>
        <v xml:space="preserve"> </v>
      </c>
      <c r="U70" t="str">
        <f>IF('Raw File'!Q70&gt;0,'Raw File'!Q70," ")</f>
        <v xml:space="preserve"> </v>
      </c>
      <c r="Y70" t="str">
        <f>IF('Raw File'!C70&gt;0,'Raw File'!C70," ")</f>
        <v xml:space="preserve"> </v>
      </c>
      <c r="Z70" t="str">
        <f>IF('Raw File'!C70&gt;0, "A", " ")</f>
        <v xml:space="preserve"> </v>
      </c>
      <c r="AA70" t="str">
        <f>IF('Raw File'!C70&gt;0, "F", " ")</f>
        <v xml:space="preserve"> </v>
      </c>
      <c r="AB70" t="str">
        <f>IF('Raw File'!H70&gt;0,'Raw File'!H70," ")</f>
        <v xml:space="preserve"> </v>
      </c>
      <c r="AC70" s="11" t="str">
        <f>IF('Raw File'!C70&gt;0,IF(WhatColor('Raw File'!C70)&gt;10,8810,8018)," ")</f>
        <v xml:space="preserve"> </v>
      </c>
      <c r="AD70" s="1" t="str">
        <f>IF('Raw File'!C70&gt;0,'Raw File'!A70," ")</f>
        <v xml:space="preserve"> </v>
      </c>
      <c r="AE70" s="1" t="str">
        <f>IF('Raw File'!C70&gt;0,'Raw File'!A70," ")</f>
        <v xml:space="preserve"> </v>
      </c>
      <c r="AF70" s="1" t="str">
        <f>IF('Raw File'!C70&gt;0,'Raw File'!A70," ")</f>
        <v xml:space="preserve"> </v>
      </c>
      <c r="AG70" t="str">
        <f>IF('Raw File'!C70&gt;0,'Raw File'!C70, " ")</f>
        <v xml:space="preserve"> </v>
      </c>
      <c r="AQ70" t="str">
        <f>IF('Raw File'!G70&gt;0, IF('Raw File'!G70&lt;100, "H", "S"), " ")</f>
        <v xml:space="preserve"> </v>
      </c>
      <c r="AR70" t="str">
        <f>IF('Raw File'!G70&gt;0,'Raw File'!G70," ")</f>
        <v xml:space="preserve"> </v>
      </c>
      <c r="AT70" t="str">
        <f>IF('Raw File'!C70&gt;0,40," ")</f>
        <v xml:space="preserve"> </v>
      </c>
      <c r="AV70" t="str">
        <f>IF('Raw File'!N70= 0, " ", IF('Raw File'!N70="S", "SS", IF( 'Raw File'!N70= "M", "MJ", IF('Raw File'!N70= "H", "H"))))</f>
        <v xml:space="preserve"> </v>
      </c>
      <c r="AW70" s="12"/>
      <c r="AX70" t="str">
        <f>LEFT('Raw File'!P70,1)</f>
        <v/>
      </c>
      <c r="AY70" t="str">
        <f>LEFT('Raw File'!N70,1)</f>
        <v/>
      </c>
      <c r="AZ70">
        <f>IF('Raw File'!O70="exempt",99,IF('Raw File'!O70&gt;0,'Raw File'!O70/2000,IF('Raw File'!O70=0,'Raw File'!O70," ")))</f>
        <v>0</v>
      </c>
      <c r="BA70" t="str">
        <f>LEFT('Raw File'!P70,1)</f>
        <v/>
      </c>
      <c r="BJ70" t="str">
        <f>IF('Raw File'!C70&gt;0,"1"," ")</f>
        <v xml:space="preserve"> </v>
      </c>
      <c r="BX70" t="str">
        <f>IF('Raw File'!C70&gt;0,"WEEKLY"," ")</f>
        <v xml:space="preserve"> </v>
      </c>
      <c r="CA70" t="str">
        <f>IF('Raw File'!C70&gt;0, "N"," ")</f>
        <v xml:space="preserve"> </v>
      </c>
      <c r="CI70" t="str">
        <f>IF('Raw File'!C70&gt;0, "W", " ")</f>
        <v xml:space="preserve"> </v>
      </c>
      <c r="DN70" s="1" t="str">
        <f>IF('Raw File'!C70&gt;0,'Raw File'!A70," ")</f>
        <v xml:space="preserve"> </v>
      </c>
      <c r="GY70">
        <f>IF('Raw File'!O70=" "," ",IF('Raw File'!O70&gt;100,'Raw File'!O70,IF('Raw File'!O70="exempt","99999",IF('Raw File'!O70&lt;100, 'Raw File'!O70*2000, " "))))</f>
        <v>0</v>
      </c>
      <c r="HQ70" t="str">
        <f>IF('Raw File'!C70&gt;0,"1"," ")</f>
        <v xml:space="preserve"> </v>
      </c>
    </row>
    <row r="71" spans="1:225" x14ac:dyDescent="0.35">
      <c r="A71" t="str">
        <f>IF('Raw File'!E71&gt;0,'Raw File'!E71, " ")</f>
        <v xml:space="preserve"> </v>
      </c>
      <c r="B71" t="str">
        <f>IF('Raw File'!D71&gt;0,'Raw File'!D71," ")</f>
        <v xml:space="preserve"> </v>
      </c>
      <c r="C71" t="str">
        <f>IF('Raw File'!F71&gt;0,'Raw File'!F71, " ")</f>
        <v xml:space="preserve"> </v>
      </c>
      <c r="D71" s="1" t="str">
        <f>IF('Raw File'!R71&gt;0,'Raw File'!R71, " ")</f>
        <v xml:space="preserve"> </v>
      </c>
      <c r="E71" t="str">
        <f>IF('Raw File'!C71&gt;0, 296, " ")</f>
        <v xml:space="preserve"> </v>
      </c>
      <c r="F71" s="10" t="str">
        <f>IF('Raw File'!C71&gt;0, "5", " ")</f>
        <v xml:space="preserve"> </v>
      </c>
      <c r="G71" t="str">
        <f>IF('Raw File'!C71&gt;0, "X", " ")</f>
        <v xml:space="preserve"> </v>
      </c>
      <c r="H71" t="str">
        <f>IF('Raw File'!N71="H", "S", LEFT('Raw File'!N71, 1))</f>
        <v/>
      </c>
      <c r="J71" t="str">
        <f>IF('Raw File'!J71&gt;0,'Raw File'!J71," ")</f>
        <v xml:space="preserve"> </v>
      </c>
      <c r="L71" t="str">
        <f>IF('Raw File'!M71&gt;0,'Raw File'!M71," ")</f>
        <v xml:space="preserve"> </v>
      </c>
      <c r="M71" t="str">
        <f>IF('Raw File'!K71&gt;0,'Raw File'!K71," ")</f>
        <v xml:space="preserve"> </v>
      </c>
      <c r="N71" t="str">
        <f>IF('Raw File'!L71&gt;0,'Raw File'!L71," ")</f>
        <v xml:space="preserve"> </v>
      </c>
      <c r="U71" t="str">
        <f>IF('Raw File'!Q71&gt;0,'Raw File'!Q71," ")</f>
        <v xml:space="preserve"> </v>
      </c>
      <c r="Y71" t="str">
        <f>IF('Raw File'!C71&gt;0,'Raw File'!C71," ")</f>
        <v xml:space="preserve"> </v>
      </c>
      <c r="Z71" t="str">
        <f>IF('Raw File'!C71&gt;0, "A", " ")</f>
        <v xml:space="preserve"> </v>
      </c>
      <c r="AA71" t="str">
        <f>IF('Raw File'!C71&gt;0, "F", " ")</f>
        <v xml:space="preserve"> </v>
      </c>
      <c r="AB71" t="str">
        <f>IF('Raw File'!H71&gt;0,'Raw File'!H71," ")</f>
        <v xml:space="preserve"> </v>
      </c>
      <c r="AC71" s="11" t="str">
        <f>IF('Raw File'!C71&gt;0,IF(WhatColor('Raw File'!C71)&gt;10,8810,8018)," ")</f>
        <v xml:space="preserve"> </v>
      </c>
      <c r="AD71" s="1" t="str">
        <f>IF('Raw File'!C71&gt;0,'Raw File'!A71," ")</f>
        <v xml:space="preserve"> </v>
      </c>
      <c r="AE71" s="1" t="str">
        <f>IF('Raw File'!C71&gt;0,'Raw File'!A71," ")</f>
        <v xml:space="preserve"> </v>
      </c>
      <c r="AF71" s="1" t="str">
        <f>IF('Raw File'!C71&gt;0,'Raw File'!A71," ")</f>
        <v xml:space="preserve"> </v>
      </c>
      <c r="AG71" t="str">
        <f>IF('Raw File'!C71&gt;0,'Raw File'!C71, " ")</f>
        <v xml:space="preserve"> </v>
      </c>
      <c r="AQ71" t="str">
        <f>IF('Raw File'!G71&gt;0, IF('Raw File'!G71&lt;100, "H", "S"), " ")</f>
        <v xml:space="preserve"> </v>
      </c>
      <c r="AR71" t="str">
        <f>IF('Raw File'!G71&gt;0,'Raw File'!G71," ")</f>
        <v xml:space="preserve"> </v>
      </c>
      <c r="AT71" t="str">
        <f>IF('Raw File'!C71&gt;0,40," ")</f>
        <v xml:space="preserve"> </v>
      </c>
      <c r="AV71" t="str">
        <f>IF('Raw File'!N71= 0, " ", IF('Raw File'!N71="S", "SS", IF( 'Raw File'!N71= "M", "MJ", IF('Raw File'!N71= "H", "H"))))</f>
        <v xml:space="preserve"> </v>
      </c>
      <c r="AW71" s="12"/>
      <c r="AX71" t="str">
        <f>LEFT('Raw File'!P71,1)</f>
        <v/>
      </c>
      <c r="AY71" t="str">
        <f>LEFT('Raw File'!N71,1)</f>
        <v/>
      </c>
      <c r="AZ71">
        <f>IF('Raw File'!O71="exempt",99,IF('Raw File'!O71&gt;0,'Raw File'!O71/2000,IF('Raw File'!O71=0,'Raw File'!O71," ")))</f>
        <v>0</v>
      </c>
      <c r="BA71" t="str">
        <f>LEFT('Raw File'!P71,1)</f>
        <v/>
      </c>
      <c r="BJ71" t="str">
        <f>IF('Raw File'!C71&gt;0,"1"," ")</f>
        <v xml:space="preserve"> </v>
      </c>
      <c r="BX71" t="str">
        <f>IF('Raw File'!C71&gt;0,"WEEKLY"," ")</f>
        <v xml:space="preserve"> </v>
      </c>
      <c r="CA71" t="str">
        <f>IF('Raw File'!C71&gt;0, "N"," ")</f>
        <v xml:space="preserve"> </v>
      </c>
      <c r="CI71" t="str">
        <f>IF('Raw File'!C71&gt;0, "W", " ")</f>
        <v xml:space="preserve"> </v>
      </c>
      <c r="DN71" s="1" t="str">
        <f>IF('Raw File'!C71&gt;0,'Raw File'!A71," ")</f>
        <v xml:space="preserve"> </v>
      </c>
      <c r="GY71">
        <f>IF('Raw File'!O71=" "," ",IF('Raw File'!O71&gt;100,'Raw File'!O71,IF('Raw File'!O71="exempt","99999",IF('Raw File'!O71&lt;100, 'Raw File'!O71*2000, " "))))</f>
        <v>0</v>
      </c>
      <c r="HQ71" t="str">
        <f>IF('Raw File'!C71&gt;0,"1"," ")</f>
        <v xml:space="preserve"> </v>
      </c>
    </row>
    <row r="72" spans="1:225" x14ac:dyDescent="0.35">
      <c r="A72" t="str">
        <f>IF('Raw File'!E72&gt;0,'Raw File'!E72, " ")</f>
        <v xml:space="preserve"> </v>
      </c>
      <c r="B72" t="str">
        <f>IF('Raw File'!D72&gt;0,'Raw File'!D72," ")</f>
        <v xml:space="preserve"> </v>
      </c>
      <c r="C72" t="str">
        <f>IF('Raw File'!F72&gt;0,'Raw File'!F72, " ")</f>
        <v xml:space="preserve"> </v>
      </c>
      <c r="D72" s="1" t="str">
        <f>IF('Raw File'!R72&gt;0,'Raw File'!R72, " ")</f>
        <v xml:space="preserve"> </v>
      </c>
      <c r="E72" t="str">
        <f>IF('Raw File'!C72&gt;0, 296, " ")</f>
        <v xml:space="preserve"> </v>
      </c>
      <c r="F72" s="10" t="str">
        <f>IF('Raw File'!C72&gt;0, "5", " ")</f>
        <v xml:space="preserve"> </v>
      </c>
      <c r="G72" t="str">
        <f>IF('Raw File'!C72&gt;0, "X", " ")</f>
        <v xml:space="preserve"> </v>
      </c>
      <c r="H72" t="str">
        <f>IF('Raw File'!N72="H", "S", LEFT('Raw File'!N72, 1))</f>
        <v/>
      </c>
      <c r="J72" t="str">
        <f>IF('Raw File'!J72&gt;0,'Raw File'!J72," ")</f>
        <v xml:space="preserve"> </v>
      </c>
      <c r="L72" t="str">
        <f>IF('Raw File'!M72&gt;0,'Raw File'!M72," ")</f>
        <v xml:space="preserve"> </v>
      </c>
      <c r="M72" t="str">
        <f>IF('Raw File'!K72&gt;0,'Raw File'!K72," ")</f>
        <v xml:space="preserve"> </v>
      </c>
      <c r="N72" t="str">
        <f>IF('Raw File'!L72&gt;0,'Raw File'!L72," ")</f>
        <v xml:space="preserve"> </v>
      </c>
      <c r="U72" t="str">
        <f>IF('Raw File'!Q72&gt;0,'Raw File'!Q72," ")</f>
        <v xml:space="preserve"> </v>
      </c>
      <c r="Y72" t="str">
        <f>IF('Raw File'!C72&gt;0,'Raw File'!C72," ")</f>
        <v xml:space="preserve"> </v>
      </c>
      <c r="Z72" t="str">
        <f>IF('Raw File'!C72&gt;0, "A", " ")</f>
        <v xml:space="preserve"> </v>
      </c>
      <c r="AA72" t="str">
        <f>IF('Raw File'!C72&gt;0, "F", " ")</f>
        <v xml:space="preserve"> </v>
      </c>
      <c r="AB72" t="str">
        <f>IF('Raw File'!H72&gt;0,'Raw File'!H72," ")</f>
        <v xml:space="preserve"> </v>
      </c>
      <c r="AC72" s="11" t="str">
        <f>IF('Raw File'!C72&gt;0,IF(WhatColor('Raw File'!C72)&gt;10,8810,8018)," ")</f>
        <v xml:space="preserve"> </v>
      </c>
      <c r="AD72" s="1" t="str">
        <f>IF('Raw File'!C72&gt;0,'Raw File'!A72," ")</f>
        <v xml:space="preserve"> </v>
      </c>
      <c r="AE72" s="1" t="str">
        <f>IF('Raw File'!C72&gt;0,'Raw File'!A72," ")</f>
        <v xml:space="preserve"> </v>
      </c>
      <c r="AF72" s="1" t="str">
        <f>IF('Raw File'!C72&gt;0,'Raw File'!A72," ")</f>
        <v xml:space="preserve"> </v>
      </c>
      <c r="AG72" t="str">
        <f>IF('Raw File'!C72&gt;0,'Raw File'!C72, " ")</f>
        <v xml:space="preserve"> </v>
      </c>
      <c r="AQ72" t="str">
        <f>IF('Raw File'!G72&gt;0, IF('Raw File'!G72&lt;100, "H", "S"), " ")</f>
        <v xml:space="preserve"> </v>
      </c>
      <c r="AR72" t="str">
        <f>IF('Raw File'!G72&gt;0,'Raw File'!G72," ")</f>
        <v xml:space="preserve"> </v>
      </c>
      <c r="AT72" t="str">
        <f>IF('Raw File'!C72&gt;0,40," ")</f>
        <v xml:space="preserve"> </v>
      </c>
      <c r="AV72" t="str">
        <f>IF('Raw File'!N72= 0, " ", IF('Raw File'!N72="S", "SS", IF( 'Raw File'!N72= "M", "MJ", IF('Raw File'!N72= "H", "H"))))</f>
        <v xml:space="preserve"> </v>
      </c>
      <c r="AW72" s="12"/>
      <c r="AX72" t="str">
        <f>LEFT('Raw File'!P72,1)</f>
        <v/>
      </c>
      <c r="AY72" t="str">
        <f>LEFT('Raw File'!N72,1)</f>
        <v/>
      </c>
      <c r="AZ72">
        <f>IF('Raw File'!O72="exempt",99,IF('Raw File'!O72&gt;0,'Raw File'!O72/2000,IF('Raw File'!O72=0,'Raw File'!O72," ")))</f>
        <v>0</v>
      </c>
      <c r="BA72" t="str">
        <f>LEFT('Raw File'!P72,1)</f>
        <v/>
      </c>
      <c r="BJ72" t="str">
        <f>IF('Raw File'!C72&gt;0,"1"," ")</f>
        <v xml:space="preserve"> </v>
      </c>
      <c r="BX72" t="str">
        <f>IF('Raw File'!C72&gt;0,"WEEKLY"," ")</f>
        <v xml:space="preserve"> </v>
      </c>
      <c r="CA72" t="str">
        <f>IF('Raw File'!C72&gt;0, "N"," ")</f>
        <v xml:space="preserve"> </v>
      </c>
      <c r="CI72" t="str">
        <f>IF('Raw File'!C72&gt;0, "W", " ")</f>
        <v xml:space="preserve"> </v>
      </c>
      <c r="DN72" s="1" t="str">
        <f>IF('Raw File'!C72&gt;0,'Raw File'!A72," ")</f>
        <v xml:space="preserve"> </v>
      </c>
      <c r="GY72">
        <f>IF('Raw File'!O72=" "," ",IF('Raw File'!O72&gt;100,'Raw File'!O72,IF('Raw File'!O72="exempt","99999",IF('Raw File'!O72&lt;100, 'Raw File'!O72*2000, " "))))</f>
        <v>0</v>
      </c>
      <c r="HQ72" t="str">
        <f>IF('Raw File'!C72&gt;0,"1"," ")</f>
        <v xml:space="preserve"> </v>
      </c>
    </row>
    <row r="73" spans="1:225" x14ac:dyDescent="0.35">
      <c r="A73" t="str">
        <f>IF('Raw File'!E73&gt;0,'Raw File'!E73, " ")</f>
        <v xml:space="preserve"> </v>
      </c>
      <c r="B73" t="str">
        <f>IF('Raw File'!D73&gt;0,'Raw File'!D73," ")</f>
        <v xml:space="preserve"> </v>
      </c>
      <c r="C73" t="str">
        <f>IF('Raw File'!F73&gt;0,'Raw File'!F73, " ")</f>
        <v xml:space="preserve"> </v>
      </c>
      <c r="D73" s="1" t="str">
        <f>IF('Raw File'!R73&gt;0,'Raw File'!R73, " ")</f>
        <v xml:space="preserve"> </v>
      </c>
      <c r="E73" t="str">
        <f>IF('Raw File'!C73&gt;0, 296, " ")</f>
        <v xml:space="preserve"> </v>
      </c>
      <c r="F73" s="10" t="str">
        <f>IF('Raw File'!C73&gt;0, "5", " ")</f>
        <v xml:space="preserve"> </v>
      </c>
      <c r="G73" t="str">
        <f>IF('Raw File'!C73&gt;0, "X", " ")</f>
        <v xml:space="preserve"> </v>
      </c>
      <c r="H73" t="str">
        <f>IF('Raw File'!N73="H", "S", LEFT('Raw File'!N73, 1))</f>
        <v/>
      </c>
      <c r="J73" t="str">
        <f>IF('Raw File'!J73&gt;0,'Raw File'!J73," ")</f>
        <v xml:space="preserve"> </v>
      </c>
      <c r="L73" t="str">
        <f>IF('Raw File'!M73&gt;0,'Raw File'!M73," ")</f>
        <v xml:space="preserve"> </v>
      </c>
      <c r="M73" t="str">
        <f>IF('Raw File'!K73&gt;0,'Raw File'!K73," ")</f>
        <v xml:space="preserve"> </v>
      </c>
      <c r="N73" t="str">
        <f>IF('Raw File'!L73&gt;0,'Raw File'!L73," ")</f>
        <v xml:space="preserve"> </v>
      </c>
      <c r="U73" t="str">
        <f>IF('Raw File'!Q73&gt;0,'Raw File'!Q73," ")</f>
        <v xml:space="preserve"> </v>
      </c>
      <c r="Y73" t="str">
        <f>IF('Raw File'!C73&gt;0,'Raw File'!C73," ")</f>
        <v xml:space="preserve"> </v>
      </c>
      <c r="Z73" t="str">
        <f>IF('Raw File'!C73&gt;0, "A", " ")</f>
        <v xml:space="preserve"> </v>
      </c>
      <c r="AA73" t="str">
        <f>IF('Raw File'!C73&gt;0, "F", " ")</f>
        <v xml:space="preserve"> </v>
      </c>
      <c r="AB73" t="str">
        <f>IF('Raw File'!H73&gt;0,'Raw File'!H73," ")</f>
        <v xml:space="preserve"> </v>
      </c>
      <c r="AC73" s="11" t="str">
        <f>IF('Raw File'!C73&gt;0,IF(WhatColor('Raw File'!C73)&gt;10,8810,8018)," ")</f>
        <v xml:space="preserve"> </v>
      </c>
      <c r="AD73" s="1" t="str">
        <f>IF('Raw File'!C73&gt;0,'Raw File'!A73," ")</f>
        <v xml:space="preserve"> </v>
      </c>
      <c r="AE73" s="1" t="str">
        <f>IF('Raw File'!C73&gt;0,'Raw File'!A73," ")</f>
        <v xml:space="preserve"> </v>
      </c>
      <c r="AF73" s="1" t="str">
        <f>IF('Raw File'!C73&gt;0,'Raw File'!A73," ")</f>
        <v xml:space="preserve"> </v>
      </c>
      <c r="AG73" t="str">
        <f>IF('Raw File'!C73&gt;0,'Raw File'!C73, " ")</f>
        <v xml:space="preserve"> </v>
      </c>
      <c r="AQ73" t="str">
        <f>IF('Raw File'!G73&gt;0, IF('Raw File'!G73&lt;100, "H", "S"), " ")</f>
        <v xml:space="preserve"> </v>
      </c>
      <c r="AR73" t="str">
        <f>IF('Raw File'!G73&gt;0,'Raw File'!G73," ")</f>
        <v xml:space="preserve"> </v>
      </c>
      <c r="AT73" t="str">
        <f>IF('Raw File'!C73&gt;0,40," ")</f>
        <v xml:space="preserve"> </v>
      </c>
      <c r="AV73" t="str">
        <f>IF('Raw File'!N73= 0, " ", IF('Raw File'!N73="S", "SS", IF( 'Raw File'!N73= "M", "MJ", IF('Raw File'!N73= "H", "H"))))</f>
        <v xml:space="preserve"> </v>
      </c>
      <c r="AW73" s="12"/>
      <c r="AX73" t="str">
        <f>LEFT('Raw File'!P73,1)</f>
        <v/>
      </c>
      <c r="AY73" t="str">
        <f>LEFT('Raw File'!N73,1)</f>
        <v/>
      </c>
      <c r="AZ73">
        <f>IF('Raw File'!O73="exempt",99,IF('Raw File'!O73&gt;0,'Raw File'!O73/2000,IF('Raw File'!O73=0,'Raw File'!O73," ")))</f>
        <v>0</v>
      </c>
      <c r="BA73" t="str">
        <f>LEFT('Raw File'!P73,1)</f>
        <v/>
      </c>
      <c r="BJ73" t="str">
        <f>IF('Raw File'!C73&gt;0,"1"," ")</f>
        <v xml:space="preserve"> </v>
      </c>
      <c r="BX73" t="str">
        <f>IF('Raw File'!C73&gt;0,"WEEKLY"," ")</f>
        <v xml:space="preserve"> </v>
      </c>
      <c r="CA73" t="str">
        <f>IF('Raw File'!C73&gt;0, "N"," ")</f>
        <v xml:space="preserve"> </v>
      </c>
      <c r="CI73" t="str">
        <f>IF('Raw File'!C73&gt;0, "W", " ")</f>
        <v xml:space="preserve"> </v>
      </c>
      <c r="DN73" s="1" t="str">
        <f>IF('Raw File'!C73&gt;0,'Raw File'!A73," ")</f>
        <v xml:space="preserve"> </v>
      </c>
      <c r="GY73">
        <f>IF('Raw File'!O73=" "," ",IF('Raw File'!O73&gt;100,'Raw File'!O73,IF('Raw File'!O73="exempt","99999",IF('Raw File'!O73&lt;100, 'Raw File'!O73*2000, " "))))</f>
        <v>0</v>
      </c>
      <c r="HQ73" t="str">
        <f>IF('Raw File'!C73&gt;0,"1"," ")</f>
        <v xml:space="preserve"> </v>
      </c>
    </row>
    <row r="74" spans="1:225" x14ac:dyDescent="0.35">
      <c r="A74" t="str">
        <f>IF('Raw File'!E74&gt;0,'Raw File'!E74, " ")</f>
        <v xml:space="preserve"> </v>
      </c>
      <c r="B74" t="str">
        <f>IF('Raw File'!D74&gt;0,'Raw File'!D74," ")</f>
        <v xml:space="preserve"> </v>
      </c>
      <c r="C74" t="str">
        <f>IF('Raw File'!F74&gt;0,'Raw File'!F74, " ")</f>
        <v xml:space="preserve"> </v>
      </c>
      <c r="D74" s="1" t="str">
        <f>IF('Raw File'!R74&gt;0,'Raw File'!R74, " ")</f>
        <v xml:space="preserve"> </v>
      </c>
      <c r="E74" t="str">
        <f>IF('Raw File'!C74&gt;0, 296, " ")</f>
        <v xml:space="preserve"> </v>
      </c>
      <c r="F74" s="10" t="str">
        <f>IF('Raw File'!C74&gt;0, "5", " ")</f>
        <v xml:space="preserve"> </v>
      </c>
      <c r="G74" t="str">
        <f>IF('Raw File'!C74&gt;0, "X", " ")</f>
        <v xml:space="preserve"> </v>
      </c>
      <c r="H74" t="str">
        <f>IF('Raw File'!N74="H", "S", LEFT('Raw File'!N74, 1))</f>
        <v/>
      </c>
      <c r="J74" t="str">
        <f>IF('Raw File'!J74&gt;0,'Raw File'!J74," ")</f>
        <v xml:space="preserve"> </v>
      </c>
      <c r="L74" t="str">
        <f>IF('Raw File'!M74&gt;0,'Raw File'!M74," ")</f>
        <v xml:space="preserve"> </v>
      </c>
      <c r="M74" t="str">
        <f>IF('Raw File'!K74&gt;0,'Raw File'!K74," ")</f>
        <v xml:space="preserve"> </v>
      </c>
      <c r="N74" t="str">
        <f>IF('Raw File'!L74&gt;0,'Raw File'!L74," ")</f>
        <v xml:space="preserve"> </v>
      </c>
      <c r="U74" t="str">
        <f>IF('Raw File'!Q74&gt;0,'Raw File'!Q74," ")</f>
        <v xml:space="preserve"> </v>
      </c>
      <c r="Y74" t="str">
        <f>IF('Raw File'!C74&gt;0,'Raw File'!C74," ")</f>
        <v xml:space="preserve"> </v>
      </c>
      <c r="Z74" t="str">
        <f>IF('Raw File'!C74&gt;0, "A", " ")</f>
        <v xml:space="preserve"> </v>
      </c>
      <c r="AA74" t="str">
        <f>IF('Raw File'!C74&gt;0, "F", " ")</f>
        <v xml:space="preserve"> </v>
      </c>
      <c r="AB74" t="str">
        <f>IF('Raw File'!H74&gt;0,'Raw File'!H74," ")</f>
        <v xml:space="preserve"> </v>
      </c>
      <c r="AC74" s="11" t="str">
        <f>IF('Raw File'!C74&gt;0,IF(WhatColor('Raw File'!C74)&gt;10,8810,8018)," ")</f>
        <v xml:space="preserve"> </v>
      </c>
      <c r="AD74" s="1" t="str">
        <f>IF('Raw File'!C74&gt;0,'Raw File'!A74," ")</f>
        <v xml:space="preserve"> </v>
      </c>
      <c r="AE74" s="1" t="str">
        <f>IF('Raw File'!C74&gt;0,'Raw File'!A74," ")</f>
        <v xml:space="preserve"> </v>
      </c>
      <c r="AF74" s="1" t="str">
        <f>IF('Raw File'!C74&gt;0,'Raw File'!A74," ")</f>
        <v xml:space="preserve"> </v>
      </c>
      <c r="AG74" t="str">
        <f>IF('Raw File'!C74&gt;0,'Raw File'!C74, " ")</f>
        <v xml:space="preserve"> </v>
      </c>
      <c r="AQ74" t="str">
        <f>IF('Raw File'!G74&gt;0, IF('Raw File'!G74&lt;100, "H", "S"), " ")</f>
        <v xml:space="preserve"> </v>
      </c>
      <c r="AR74" t="str">
        <f>IF('Raw File'!G74&gt;0,'Raw File'!G74," ")</f>
        <v xml:space="preserve"> </v>
      </c>
      <c r="AT74" t="str">
        <f>IF('Raw File'!C74&gt;0,40," ")</f>
        <v xml:space="preserve"> </v>
      </c>
      <c r="AV74" t="str">
        <f>IF('Raw File'!N74= 0, " ", IF('Raw File'!N74="S", "SS", IF( 'Raw File'!N74= "M", "MJ", IF('Raw File'!N74= "H", "H"))))</f>
        <v xml:space="preserve"> </v>
      </c>
      <c r="AW74" s="12"/>
      <c r="AX74" t="str">
        <f>LEFT('Raw File'!P74,1)</f>
        <v/>
      </c>
      <c r="AY74" t="str">
        <f>LEFT('Raw File'!N74,1)</f>
        <v/>
      </c>
      <c r="AZ74">
        <f>IF('Raw File'!O74="exempt",99,IF('Raw File'!O74&gt;0,'Raw File'!O74/2000,IF('Raw File'!O74=0,'Raw File'!O74," ")))</f>
        <v>0</v>
      </c>
      <c r="BA74" t="str">
        <f>LEFT('Raw File'!P74,1)</f>
        <v/>
      </c>
      <c r="BJ74" t="str">
        <f>IF('Raw File'!C74&gt;0,"1"," ")</f>
        <v xml:space="preserve"> </v>
      </c>
      <c r="BX74" t="str">
        <f>IF('Raw File'!C74&gt;0,"WEEKLY"," ")</f>
        <v xml:space="preserve"> </v>
      </c>
      <c r="CA74" t="str">
        <f>IF('Raw File'!C74&gt;0, "N"," ")</f>
        <v xml:space="preserve"> </v>
      </c>
      <c r="CI74" t="str">
        <f>IF('Raw File'!C74&gt;0, "W", " ")</f>
        <v xml:space="preserve"> </v>
      </c>
      <c r="DN74" s="1" t="str">
        <f>IF('Raw File'!C74&gt;0,'Raw File'!A74," ")</f>
        <v xml:space="preserve"> </v>
      </c>
      <c r="GY74">
        <f>IF('Raw File'!O74=" "," ",IF('Raw File'!O74&gt;100,'Raw File'!O74,IF('Raw File'!O74="exempt","99999",IF('Raw File'!O74&lt;100, 'Raw File'!O74*2000, " "))))</f>
        <v>0</v>
      </c>
      <c r="HQ74" t="str">
        <f>IF('Raw File'!C74&gt;0,"1"," ")</f>
        <v xml:space="preserve"> </v>
      </c>
    </row>
    <row r="75" spans="1:225" x14ac:dyDescent="0.35">
      <c r="A75" t="str">
        <f>IF('Raw File'!E75&gt;0,'Raw File'!E75, " ")</f>
        <v xml:space="preserve"> </v>
      </c>
      <c r="B75" t="str">
        <f>IF('Raw File'!D75&gt;0,'Raw File'!D75," ")</f>
        <v xml:space="preserve"> </v>
      </c>
      <c r="C75" t="str">
        <f>IF('Raw File'!F75&gt;0,'Raw File'!F75, " ")</f>
        <v xml:space="preserve"> </v>
      </c>
      <c r="D75" s="1" t="str">
        <f>IF('Raw File'!R75&gt;0,'Raw File'!R75, " ")</f>
        <v xml:space="preserve"> </v>
      </c>
      <c r="E75" t="str">
        <f>IF('Raw File'!C75&gt;0, 296, " ")</f>
        <v xml:space="preserve"> </v>
      </c>
      <c r="F75" s="10" t="str">
        <f>IF('Raw File'!C75&gt;0, "5", " ")</f>
        <v xml:space="preserve"> </v>
      </c>
      <c r="G75" t="str">
        <f>IF('Raw File'!C75&gt;0, "X", " ")</f>
        <v xml:space="preserve"> </v>
      </c>
      <c r="H75" t="str">
        <f>IF('Raw File'!N75="H", "S", LEFT('Raw File'!N75, 1))</f>
        <v/>
      </c>
      <c r="J75" t="str">
        <f>IF('Raw File'!J75&gt;0,'Raw File'!J75," ")</f>
        <v xml:space="preserve"> </v>
      </c>
      <c r="L75" t="str">
        <f>IF('Raw File'!M75&gt;0,'Raw File'!M75," ")</f>
        <v xml:space="preserve"> </v>
      </c>
      <c r="M75" t="str">
        <f>IF('Raw File'!K75&gt;0,'Raw File'!K75," ")</f>
        <v xml:space="preserve"> </v>
      </c>
      <c r="N75" t="str">
        <f>IF('Raw File'!L75&gt;0,'Raw File'!L75," ")</f>
        <v xml:space="preserve"> </v>
      </c>
      <c r="U75" t="str">
        <f>IF('Raw File'!Q75&gt;0,'Raw File'!Q75," ")</f>
        <v xml:space="preserve"> </v>
      </c>
      <c r="Y75" t="str">
        <f>IF('Raw File'!C75&gt;0,'Raw File'!C75," ")</f>
        <v xml:space="preserve"> </v>
      </c>
      <c r="Z75" t="str">
        <f>IF('Raw File'!C75&gt;0, "A", " ")</f>
        <v xml:space="preserve"> </v>
      </c>
      <c r="AA75" t="str">
        <f>IF('Raw File'!C75&gt;0, "F", " ")</f>
        <v xml:space="preserve"> </v>
      </c>
      <c r="AB75" t="str">
        <f>IF('Raw File'!H75&gt;0,'Raw File'!H75," ")</f>
        <v xml:space="preserve"> </v>
      </c>
      <c r="AC75" s="11" t="str">
        <f>IF('Raw File'!C75&gt;0,IF(WhatColor('Raw File'!C75)&gt;10,8810,8018)," ")</f>
        <v xml:space="preserve"> </v>
      </c>
      <c r="AD75" s="1" t="str">
        <f>IF('Raw File'!C75&gt;0,'Raw File'!A75," ")</f>
        <v xml:space="preserve"> </v>
      </c>
      <c r="AE75" s="1" t="str">
        <f>IF('Raw File'!C75&gt;0,'Raw File'!A75," ")</f>
        <v xml:space="preserve"> </v>
      </c>
      <c r="AF75" s="1" t="str">
        <f>IF('Raw File'!C75&gt;0,'Raw File'!A75," ")</f>
        <v xml:space="preserve"> </v>
      </c>
      <c r="AG75" t="str">
        <f>IF('Raw File'!C75&gt;0,'Raw File'!C75, " ")</f>
        <v xml:space="preserve"> </v>
      </c>
      <c r="AQ75" t="str">
        <f>IF('Raw File'!G75&gt;0, IF('Raw File'!G75&lt;100, "H", "S"), " ")</f>
        <v xml:space="preserve"> </v>
      </c>
      <c r="AR75" t="str">
        <f>IF('Raw File'!G75&gt;0,'Raw File'!G75," ")</f>
        <v xml:space="preserve"> </v>
      </c>
      <c r="AT75" t="str">
        <f>IF('Raw File'!C75&gt;0,40," ")</f>
        <v xml:space="preserve"> </v>
      </c>
      <c r="AV75" t="str">
        <f>IF('Raw File'!N75= 0, " ", IF('Raw File'!N75="S", "SS", IF( 'Raw File'!N75= "M", "MJ", IF('Raw File'!N75= "H", "H"))))</f>
        <v xml:space="preserve"> </v>
      </c>
      <c r="AW75" s="12"/>
      <c r="AX75" t="str">
        <f>LEFT('Raw File'!P75,1)</f>
        <v/>
      </c>
      <c r="AY75" t="str">
        <f>LEFT('Raw File'!N75,1)</f>
        <v/>
      </c>
      <c r="AZ75">
        <f>IF('Raw File'!O75="exempt",99,IF('Raw File'!O75&gt;0,'Raw File'!O75/2000,IF('Raw File'!O75=0,'Raw File'!O75," ")))</f>
        <v>0</v>
      </c>
      <c r="BA75" t="str">
        <f>LEFT('Raw File'!P75,1)</f>
        <v/>
      </c>
      <c r="BJ75" t="str">
        <f>IF('Raw File'!C75&gt;0,"1"," ")</f>
        <v xml:space="preserve"> </v>
      </c>
      <c r="BX75" t="str">
        <f>IF('Raw File'!C75&gt;0,"WEEKLY"," ")</f>
        <v xml:space="preserve"> </v>
      </c>
      <c r="CA75" t="str">
        <f>IF('Raw File'!C75&gt;0, "N"," ")</f>
        <v xml:space="preserve"> </v>
      </c>
      <c r="CI75" t="str">
        <f>IF('Raw File'!C75&gt;0, "W", " ")</f>
        <v xml:space="preserve"> </v>
      </c>
      <c r="DN75" s="1" t="str">
        <f>IF('Raw File'!C75&gt;0,'Raw File'!A75," ")</f>
        <v xml:space="preserve"> </v>
      </c>
      <c r="GY75">
        <f>IF('Raw File'!O75=" "," ",IF('Raw File'!O75&gt;100,'Raw File'!O75,IF('Raw File'!O75="exempt","99999",IF('Raw File'!O75&lt;100, 'Raw File'!O75*2000, " "))))</f>
        <v>0</v>
      </c>
      <c r="HQ75" t="str">
        <f>IF('Raw File'!C75&gt;0,"1"," ")</f>
        <v xml:space="preserve"> </v>
      </c>
    </row>
    <row r="76" spans="1:225" x14ac:dyDescent="0.35">
      <c r="A76" t="str">
        <f>IF('Raw File'!E76&gt;0,'Raw File'!E76, " ")</f>
        <v xml:space="preserve"> </v>
      </c>
      <c r="B76" t="str">
        <f>IF('Raw File'!D76&gt;0,'Raw File'!D76," ")</f>
        <v xml:space="preserve"> </v>
      </c>
      <c r="C76" t="str">
        <f>IF('Raw File'!F76&gt;0,'Raw File'!F76, " ")</f>
        <v xml:space="preserve"> </v>
      </c>
      <c r="D76" s="1" t="str">
        <f>IF('Raw File'!R76&gt;0,'Raw File'!R76, " ")</f>
        <v xml:space="preserve"> </v>
      </c>
      <c r="E76" t="str">
        <f>IF('Raw File'!C76&gt;0, 296, " ")</f>
        <v xml:space="preserve"> </v>
      </c>
      <c r="F76" s="10" t="str">
        <f>IF('Raw File'!C76&gt;0, "5", " ")</f>
        <v xml:space="preserve"> </v>
      </c>
      <c r="G76" t="str">
        <f>IF('Raw File'!C76&gt;0, "X", " ")</f>
        <v xml:space="preserve"> </v>
      </c>
      <c r="H76" t="str">
        <f>IF('Raw File'!N76="H", "S", LEFT('Raw File'!N76, 1))</f>
        <v/>
      </c>
      <c r="J76" t="str">
        <f>IF('Raw File'!J76&gt;0,'Raw File'!J76," ")</f>
        <v xml:space="preserve"> </v>
      </c>
      <c r="L76" t="str">
        <f>IF('Raw File'!M76&gt;0,'Raw File'!M76," ")</f>
        <v xml:space="preserve"> </v>
      </c>
      <c r="M76" t="str">
        <f>IF('Raw File'!K76&gt;0,'Raw File'!K76," ")</f>
        <v xml:space="preserve"> </v>
      </c>
      <c r="N76" t="str">
        <f>IF('Raw File'!L76&gt;0,'Raw File'!L76," ")</f>
        <v xml:space="preserve"> </v>
      </c>
      <c r="U76" t="str">
        <f>IF('Raw File'!Q76&gt;0,'Raw File'!Q76," ")</f>
        <v xml:space="preserve"> </v>
      </c>
      <c r="Y76" t="str">
        <f>IF('Raw File'!C76&gt;0,'Raw File'!C76," ")</f>
        <v xml:space="preserve"> </v>
      </c>
      <c r="Z76" t="str">
        <f>IF('Raw File'!C76&gt;0, "A", " ")</f>
        <v xml:space="preserve"> </v>
      </c>
      <c r="AA76" t="str">
        <f>IF('Raw File'!C76&gt;0, "F", " ")</f>
        <v xml:space="preserve"> </v>
      </c>
      <c r="AB76" t="str">
        <f>IF('Raw File'!H76&gt;0,'Raw File'!H76," ")</f>
        <v xml:space="preserve"> </v>
      </c>
      <c r="AC76" s="11" t="str">
        <f>IF('Raw File'!C76&gt;0,IF(WhatColor('Raw File'!C76)&gt;10,8810,8018)," ")</f>
        <v xml:space="preserve"> </v>
      </c>
      <c r="AD76" s="1" t="str">
        <f>IF('Raw File'!C76&gt;0,'Raw File'!A76," ")</f>
        <v xml:space="preserve"> </v>
      </c>
      <c r="AE76" s="1" t="str">
        <f>IF('Raw File'!C76&gt;0,'Raw File'!A76," ")</f>
        <v xml:space="preserve"> </v>
      </c>
      <c r="AF76" s="1" t="str">
        <f>IF('Raw File'!C76&gt;0,'Raw File'!A76," ")</f>
        <v xml:space="preserve"> </v>
      </c>
      <c r="AG76" t="str">
        <f>IF('Raw File'!C76&gt;0,'Raw File'!C76, " ")</f>
        <v xml:space="preserve"> </v>
      </c>
      <c r="AQ76" t="str">
        <f>IF('Raw File'!G76&gt;0, IF('Raw File'!G76&lt;100, "H", "S"), " ")</f>
        <v xml:space="preserve"> </v>
      </c>
      <c r="AR76" t="str">
        <f>IF('Raw File'!G76&gt;0,'Raw File'!G76," ")</f>
        <v xml:space="preserve"> </v>
      </c>
      <c r="AT76" t="str">
        <f>IF('Raw File'!C76&gt;0,40," ")</f>
        <v xml:space="preserve"> </v>
      </c>
      <c r="AV76" t="str">
        <f>IF('Raw File'!N76= 0, " ", IF('Raw File'!N76="S", "SS", IF( 'Raw File'!N76= "M", "MJ", IF('Raw File'!N76= "H", "H"))))</f>
        <v xml:space="preserve"> </v>
      </c>
      <c r="AW76" s="12"/>
      <c r="AX76" t="str">
        <f>LEFT('Raw File'!P76,1)</f>
        <v/>
      </c>
      <c r="AY76" t="str">
        <f>LEFT('Raw File'!N76,1)</f>
        <v/>
      </c>
      <c r="AZ76">
        <f>IF('Raw File'!O76="exempt",99,IF('Raw File'!O76&gt;0,'Raw File'!O76/2000,IF('Raw File'!O76=0,'Raw File'!O76," ")))</f>
        <v>0</v>
      </c>
      <c r="BA76" t="str">
        <f>LEFT('Raw File'!P76,1)</f>
        <v/>
      </c>
      <c r="BJ76" t="str">
        <f>IF('Raw File'!C76&gt;0,"1"," ")</f>
        <v xml:space="preserve"> </v>
      </c>
      <c r="BX76" t="str">
        <f>IF('Raw File'!C76&gt;0,"WEEKLY"," ")</f>
        <v xml:space="preserve"> </v>
      </c>
      <c r="CA76" t="str">
        <f>IF('Raw File'!C76&gt;0, "N"," ")</f>
        <v xml:space="preserve"> </v>
      </c>
      <c r="CI76" t="str">
        <f>IF('Raw File'!C76&gt;0, "W", " ")</f>
        <v xml:space="preserve"> </v>
      </c>
      <c r="DN76" s="1" t="str">
        <f>IF('Raw File'!C76&gt;0,'Raw File'!A76," ")</f>
        <v xml:space="preserve"> </v>
      </c>
      <c r="GY76">
        <f>IF('Raw File'!O76=" "," ",IF('Raw File'!O76&gt;100,'Raw File'!O76,IF('Raw File'!O76="exempt","99999",IF('Raw File'!O76&lt;100, 'Raw File'!O76*2000, " "))))</f>
        <v>0</v>
      </c>
      <c r="HQ76" t="str">
        <f>IF('Raw File'!C76&gt;0,"1"," ")</f>
        <v xml:space="preserve"> </v>
      </c>
    </row>
    <row r="77" spans="1:225" x14ac:dyDescent="0.35">
      <c r="A77" t="str">
        <f>IF('Raw File'!E77&gt;0,'Raw File'!E77, " ")</f>
        <v xml:space="preserve"> </v>
      </c>
      <c r="B77" t="str">
        <f>IF('Raw File'!D77&gt;0,'Raw File'!D77," ")</f>
        <v xml:space="preserve"> </v>
      </c>
      <c r="C77" t="str">
        <f>IF('Raw File'!F77&gt;0,'Raw File'!F77, " ")</f>
        <v xml:space="preserve"> </v>
      </c>
      <c r="D77" s="1" t="str">
        <f>IF('Raw File'!R77&gt;0,'Raw File'!R77, " ")</f>
        <v xml:space="preserve"> </v>
      </c>
      <c r="E77" t="str">
        <f>IF('Raw File'!C77&gt;0, 296, " ")</f>
        <v xml:space="preserve"> </v>
      </c>
      <c r="F77" s="10" t="str">
        <f>IF('Raw File'!C77&gt;0, "5", " ")</f>
        <v xml:space="preserve"> </v>
      </c>
      <c r="G77" t="str">
        <f>IF('Raw File'!C77&gt;0, "X", " ")</f>
        <v xml:space="preserve"> </v>
      </c>
      <c r="H77" t="str">
        <f>IF('Raw File'!N77="H", "S", LEFT('Raw File'!N77, 1))</f>
        <v/>
      </c>
      <c r="J77" t="str">
        <f>IF('Raw File'!J77&gt;0,'Raw File'!J77," ")</f>
        <v xml:space="preserve"> </v>
      </c>
      <c r="L77" t="str">
        <f>IF('Raw File'!M77&gt;0,'Raw File'!M77," ")</f>
        <v xml:space="preserve"> </v>
      </c>
      <c r="M77" t="str">
        <f>IF('Raw File'!K77&gt;0,'Raw File'!K77," ")</f>
        <v xml:space="preserve"> </v>
      </c>
      <c r="N77" t="str">
        <f>IF('Raw File'!L77&gt;0,'Raw File'!L77," ")</f>
        <v xml:space="preserve"> </v>
      </c>
      <c r="U77" t="str">
        <f>IF('Raw File'!Q77&gt;0,'Raw File'!Q77," ")</f>
        <v xml:space="preserve"> </v>
      </c>
      <c r="Y77" t="str">
        <f>IF('Raw File'!C77&gt;0,'Raw File'!C77," ")</f>
        <v xml:space="preserve"> </v>
      </c>
      <c r="Z77" t="str">
        <f>IF('Raw File'!C77&gt;0, "A", " ")</f>
        <v xml:space="preserve"> </v>
      </c>
      <c r="AA77" t="str">
        <f>IF('Raw File'!C77&gt;0, "F", " ")</f>
        <v xml:space="preserve"> </v>
      </c>
      <c r="AB77" t="str">
        <f>IF('Raw File'!H77&gt;0,'Raw File'!H77," ")</f>
        <v xml:space="preserve"> </v>
      </c>
      <c r="AC77" s="11" t="str">
        <f>IF('Raw File'!C77&gt;0,IF(WhatColor('Raw File'!C77)&gt;10,8810,8018)," ")</f>
        <v xml:space="preserve"> </v>
      </c>
      <c r="AD77" s="1" t="str">
        <f>IF('Raw File'!C77&gt;0,'Raw File'!A77," ")</f>
        <v xml:space="preserve"> </v>
      </c>
      <c r="AE77" s="1" t="str">
        <f>IF('Raw File'!C77&gt;0,'Raw File'!A77," ")</f>
        <v xml:space="preserve"> </v>
      </c>
      <c r="AF77" s="1" t="str">
        <f>IF('Raw File'!C77&gt;0,'Raw File'!A77," ")</f>
        <v xml:space="preserve"> </v>
      </c>
      <c r="AG77" t="str">
        <f>IF('Raw File'!C77&gt;0,'Raw File'!C77, " ")</f>
        <v xml:space="preserve"> </v>
      </c>
      <c r="AQ77" t="str">
        <f>IF('Raw File'!G77&gt;0, IF('Raw File'!G77&lt;100, "H", "S"), " ")</f>
        <v xml:space="preserve"> </v>
      </c>
      <c r="AR77" t="str">
        <f>IF('Raw File'!G77&gt;0,'Raw File'!G77," ")</f>
        <v xml:space="preserve"> </v>
      </c>
      <c r="AT77" t="str">
        <f>IF('Raw File'!C77&gt;0,40," ")</f>
        <v xml:space="preserve"> </v>
      </c>
      <c r="AV77" t="str">
        <f>IF('Raw File'!N77= 0, " ", IF('Raw File'!N77="S", "SS", IF( 'Raw File'!N77= "M", "MJ", IF('Raw File'!N77= "H", "H"))))</f>
        <v xml:space="preserve"> </v>
      </c>
      <c r="AW77" s="12"/>
      <c r="AX77" t="str">
        <f>LEFT('Raw File'!P77,1)</f>
        <v/>
      </c>
      <c r="AY77" t="str">
        <f>LEFT('Raw File'!N77,1)</f>
        <v/>
      </c>
      <c r="AZ77">
        <f>IF('Raw File'!O77="exempt",99,IF('Raw File'!O77&gt;0,'Raw File'!O77/2000,IF('Raw File'!O77=0,'Raw File'!O77," ")))</f>
        <v>0</v>
      </c>
      <c r="BA77" t="str">
        <f>LEFT('Raw File'!P77,1)</f>
        <v/>
      </c>
      <c r="BJ77" t="str">
        <f>IF('Raw File'!C77&gt;0,"1"," ")</f>
        <v xml:space="preserve"> </v>
      </c>
      <c r="BX77" t="str">
        <f>IF('Raw File'!C77&gt;0,"WEEKLY"," ")</f>
        <v xml:space="preserve"> </v>
      </c>
      <c r="CA77" t="str">
        <f>IF('Raw File'!C77&gt;0, "N"," ")</f>
        <v xml:space="preserve"> </v>
      </c>
      <c r="CI77" t="str">
        <f>IF('Raw File'!C77&gt;0, "W", " ")</f>
        <v xml:space="preserve"> </v>
      </c>
      <c r="DN77" s="1" t="str">
        <f>IF('Raw File'!C77&gt;0,'Raw File'!A77," ")</f>
        <v xml:space="preserve"> </v>
      </c>
      <c r="GY77">
        <f>IF('Raw File'!O77=" "," ",IF('Raw File'!O77&gt;100,'Raw File'!O77,IF('Raw File'!O77="exempt","99999",IF('Raw File'!O77&lt;100, 'Raw File'!O77*2000, " "))))</f>
        <v>0</v>
      </c>
      <c r="HQ77" t="str">
        <f>IF('Raw File'!C77&gt;0,"1"," ")</f>
        <v xml:space="preserve"> </v>
      </c>
    </row>
    <row r="78" spans="1:225" x14ac:dyDescent="0.35">
      <c r="A78" t="str">
        <f>IF('Raw File'!E78&gt;0,'Raw File'!E78, " ")</f>
        <v xml:space="preserve"> </v>
      </c>
      <c r="B78" t="str">
        <f>IF('Raw File'!D78&gt;0,'Raw File'!D78," ")</f>
        <v xml:space="preserve"> </v>
      </c>
      <c r="C78" t="str">
        <f>IF('Raw File'!F78&gt;0,'Raw File'!F78, " ")</f>
        <v xml:space="preserve"> </v>
      </c>
      <c r="D78" s="1" t="str">
        <f>IF('Raw File'!R78&gt;0,'Raw File'!R78, " ")</f>
        <v xml:space="preserve"> </v>
      </c>
      <c r="E78" t="str">
        <f>IF('Raw File'!C78&gt;0, 296, " ")</f>
        <v xml:space="preserve"> </v>
      </c>
      <c r="F78" s="10" t="str">
        <f>IF('Raw File'!C78&gt;0, "5", " ")</f>
        <v xml:space="preserve"> </v>
      </c>
      <c r="G78" t="str">
        <f>IF('Raw File'!C78&gt;0, "X", " ")</f>
        <v xml:space="preserve"> </v>
      </c>
      <c r="H78" t="str">
        <f>IF('Raw File'!N78="H", "S", LEFT('Raw File'!N78, 1))</f>
        <v/>
      </c>
      <c r="J78" t="str">
        <f>IF('Raw File'!J78&gt;0,'Raw File'!J78," ")</f>
        <v xml:space="preserve"> </v>
      </c>
      <c r="L78" t="str">
        <f>IF('Raw File'!M78&gt;0,'Raw File'!M78," ")</f>
        <v xml:space="preserve"> </v>
      </c>
      <c r="M78" t="str">
        <f>IF('Raw File'!K78&gt;0,'Raw File'!K78," ")</f>
        <v xml:space="preserve"> </v>
      </c>
      <c r="N78" t="str">
        <f>IF('Raw File'!L78&gt;0,'Raw File'!L78," ")</f>
        <v xml:space="preserve"> </v>
      </c>
      <c r="U78" t="str">
        <f>IF('Raw File'!Q78&gt;0,'Raw File'!Q78," ")</f>
        <v xml:space="preserve"> </v>
      </c>
      <c r="Y78" t="str">
        <f>IF('Raw File'!C78&gt;0,'Raw File'!C78," ")</f>
        <v xml:space="preserve"> </v>
      </c>
      <c r="Z78" t="str">
        <f>IF('Raw File'!C78&gt;0, "A", " ")</f>
        <v xml:space="preserve"> </v>
      </c>
      <c r="AA78" t="str">
        <f>IF('Raw File'!C78&gt;0, "F", " ")</f>
        <v xml:space="preserve"> </v>
      </c>
      <c r="AB78" t="str">
        <f>IF('Raw File'!H78&gt;0,'Raw File'!H78," ")</f>
        <v xml:space="preserve"> </v>
      </c>
      <c r="AC78" s="11" t="str">
        <f>IF('Raw File'!C78&gt;0,IF(WhatColor('Raw File'!C78)&gt;10,8810,8018)," ")</f>
        <v xml:space="preserve"> </v>
      </c>
      <c r="AD78" s="1" t="str">
        <f>IF('Raw File'!C78&gt;0,'Raw File'!A78," ")</f>
        <v xml:space="preserve"> </v>
      </c>
      <c r="AE78" s="1" t="str">
        <f>IF('Raw File'!C78&gt;0,'Raw File'!A78," ")</f>
        <v xml:space="preserve"> </v>
      </c>
      <c r="AF78" s="1" t="str">
        <f>IF('Raw File'!C78&gt;0,'Raw File'!A78," ")</f>
        <v xml:space="preserve"> </v>
      </c>
      <c r="AG78" t="str">
        <f>IF('Raw File'!C78&gt;0,'Raw File'!C78, " ")</f>
        <v xml:space="preserve"> </v>
      </c>
      <c r="AQ78" t="str">
        <f>IF('Raw File'!G78&gt;0, IF('Raw File'!G78&lt;100, "H", "S"), " ")</f>
        <v xml:space="preserve"> </v>
      </c>
      <c r="AR78" t="str">
        <f>IF('Raw File'!G78&gt;0,'Raw File'!G78," ")</f>
        <v xml:space="preserve"> </v>
      </c>
      <c r="AT78" t="str">
        <f>IF('Raw File'!C78&gt;0,40," ")</f>
        <v xml:space="preserve"> </v>
      </c>
      <c r="AV78" t="str">
        <f>IF('Raw File'!N78= 0, " ", IF('Raw File'!N78="S", "SS", IF( 'Raw File'!N78= "M", "MJ", IF('Raw File'!N78= "H", "H"))))</f>
        <v xml:space="preserve"> </v>
      </c>
      <c r="AW78" s="12"/>
      <c r="AX78" t="str">
        <f>LEFT('Raw File'!P78,1)</f>
        <v/>
      </c>
      <c r="AY78" t="str">
        <f>LEFT('Raw File'!N78,1)</f>
        <v/>
      </c>
      <c r="AZ78">
        <f>IF('Raw File'!O78="exempt",99,IF('Raw File'!O78&gt;0,'Raw File'!O78/2000,IF('Raw File'!O78=0,'Raw File'!O78," ")))</f>
        <v>0</v>
      </c>
      <c r="BA78" t="str">
        <f>LEFT('Raw File'!P78,1)</f>
        <v/>
      </c>
      <c r="BJ78" t="str">
        <f>IF('Raw File'!C78&gt;0,"1"," ")</f>
        <v xml:space="preserve"> </v>
      </c>
      <c r="BX78" t="str">
        <f>IF('Raw File'!C78&gt;0,"WEEKLY"," ")</f>
        <v xml:space="preserve"> </v>
      </c>
      <c r="CA78" t="str">
        <f>IF('Raw File'!C78&gt;0, "N"," ")</f>
        <v xml:space="preserve"> </v>
      </c>
      <c r="CI78" t="str">
        <f>IF('Raw File'!C78&gt;0, "W", " ")</f>
        <v xml:space="preserve"> </v>
      </c>
      <c r="DN78" s="1" t="str">
        <f>IF('Raw File'!C78&gt;0,'Raw File'!A78," ")</f>
        <v xml:space="preserve"> </v>
      </c>
      <c r="GY78">
        <f>IF('Raw File'!O78=" "," ",IF('Raw File'!O78&gt;100,'Raw File'!O78,IF('Raw File'!O78="exempt","99999",IF('Raw File'!O78&lt;100, 'Raw File'!O78*2000, " "))))</f>
        <v>0</v>
      </c>
      <c r="HQ78" t="str">
        <f>IF('Raw File'!C78&gt;0,"1"," ")</f>
        <v xml:space="preserve"> </v>
      </c>
    </row>
    <row r="79" spans="1:225" x14ac:dyDescent="0.35">
      <c r="A79" t="str">
        <f>IF('Raw File'!E79&gt;0,'Raw File'!E79, " ")</f>
        <v xml:space="preserve"> </v>
      </c>
      <c r="B79" t="str">
        <f>IF('Raw File'!D79&gt;0,'Raw File'!D79," ")</f>
        <v xml:space="preserve"> </v>
      </c>
      <c r="C79" t="str">
        <f>IF('Raw File'!F79&gt;0,'Raw File'!F79, " ")</f>
        <v xml:space="preserve"> </v>
      </c>
      <c r="D79" s="1" t="str">
        <f>IF('Raw File'!R79&gt;0,'Raw File'!R79, " ")</f>
        <v xml:space="preserve"> </v>
      </c>
      <c r="E79" t="str">
        <f>IF('Raw File'!C79&gt;0, 296, " ")</f>
        <v xml:space="preserve"> </v>
      </c>
      <c r="F79" s="10" t="str">
        <f>IF('Raw File'!C79&gt;0, "5", " ")</f>
        <v xml:space="preserve"> </v>
      </c>
      <c r="G79" t="str">
        <f>IF('Raw File'!C79&gt;0, "X", " ")</f>
        <v xml:space="preserve"> </v>
      </c>
      <c r="H79" t="str">
        <f>IF('Raw File'!N79="H", "S", LEFT('Raw File'!N79, 1))</f>
        <v/>
      </c>
      <c r="J79" t="str">
        <f>IF('Raw File'!J79&gt;0,'Raw File'!J79," ")</f>
        <v xml:space="preserve"> </v>
      </c>
      <c r="L79" t="str">
        <f>IF('Raw File'!M79&gt;0,'Raw File'!M79," ")</f>
        <v xml:space="preserve"> </v>
      </c>
      <c r="M79" t="str">
        <f>IF('Raw File'!K79&gt;0,'Raw File'!K79," ")</f>
        <v xml:space="preserve"> </v>
      </c>
      <c r="N79" t="str">
        <f>IF('Raw File'!L79&gt;0,'Raw File'!L79," ")</f>
        <v xml:space="preserve"> </v>
      </c>
      <c r="U79" t="str">
        <f>IF('Raw File'!Q79&gt;0,'Raw File'!Q79," ")</f>
        <v xml:space="preserve"> </v>
      </c>
      <c r="Y79" t="str">
        <f>IF('Raw File'!C79&gt;0,'Raw File'!C79," ")</f>
        <v xml:space="preserve"> </v>
      </c>
      <c r="Z79" t="str">
        <f>IF('Raw File'!C79&gt;0, "A", " ")</f>
        <v xml:space="preserve"> </v>
      </c>
      <c r="AA79" t="str">
        <f>IF('Raw File'!C79&gt;0, "F", " ")</f>
        <v xml:space="preserve"> </v>
      </c>
      <c r="AB79" t="str">
        <f>IF('Raw File'!H79&gt;0,'Raw File'!H79," ")</f>
        <v xml:space="preserve"> </v>
      </c>
      <c r="AC79" s="11" t="str">
        <f>IF('Raw File'!C79&gt;0,IF(WhatColor('Raw File'!C79)&gt;10,8810,8018)," ")</f>
        <v xml:space="preserve"> </v>
      </c>
      <c r="AD79" s="1" t="str">
        <f>IF('Raw File'!C79&gt;0,'Raw File'!A79," ")</f>
        <v xml:space="preserve"> </v>
      </c>
      <c r="AE79" s="1" t="str">
        <f>IF('Raw File'!C79&gt;0,'Raw File'!A79," ")</f>
        <v xml:space="preserve"> </v>
      </c>
      <c r="AF79" s="1" t="str">
        <f>IF('Raw File'!C79&gt;0,'Raw File'!A79," ")</f>
        <v xml:space="preserve"> </v>
      </c>
      <c r="AG79" t="str">
        <f>IF('Raw File'!C79&gt;0,'Raw File'!C79, " ")</f>
        <v xml:space="preserve"> </v>
      </c>
      <c r="AQ79" t="str">
        <f>IF('Raw File'!G79&gt;0, IF('Raw File'!G79&lt;100, "H", "S"), " ")</f>
        <v xml:space="preserve"> </v>
      </c>
      <c r="AR79" t="str">
        <f>IF('Raw File'!G79&gt;0,'Raw File'!G79," ")</f>
        <v xml:space="preserve"> </v>
      </c>
      <c r="AT79" t="str">
        <f>IF('Raw File'!C79&gt;0,40," ")</f>
        <v xml:space="preserve"> </v>
      </c>
      <c r="AV79" t="str">
        <f>IF('Raw File'!N79= 0, " ", IF('Raw File'!N79="S", "SS", IF( 'Raw File'!N79= "M", "MJ", IF('Raw File'!N79= "H", "H"))))</f>
        <v xml:space="preserve"> </v>
      </c>
      <c r="AW79" s="12"/>
      <c r="AX79" t="str">
        <f>LEFT('Raw File'!P79,1)</f>
        <v/>
      </c>
      <c r="AY79" t="str">
        <f>LEFT('Raw File'!N79,1)</f>
        <v/>
      </c>
      <c r="AZ79">
        <f>IF('Raw File'!O79="exempt",99,IF('Raw File'!O79&gt;0,'Raw File'!O79/2000,IF('Raw File'!O79=0,'Raw File'!O79," ")))</f>
        <v>0</v>
      </c>
      <c r="BA79" t="str">
        <f>LEFT('Raw File'!P79,1)</f>
        <v/>
      </c>
      <c r="BJ79" t="str">
        <f>IF('Raw File'!C79&gt;0,"1"," ")</f>
        <v xml:space="preserve"> </v>
      </c>
      <c r="BX79" t="str">
        <f>IF('Raw File'!C79&gt;0,"WEEKLY"," ")</f>
        <v xml:space="preserve"> </v>
      </c>
      <c r="CA79" t="str">
        <f>IF('Raw File'!C79&gt;0, "N"," ")</f>
        <v xml:space="preserve"> </v>
      </c>
      <c r="CI79" t="str">
        <f>IF('Raw File'!C79&gt;0, "W", " ")</f>
        <v xml:space="preserve"> </v>
      </c>
      <c r="DN79" s="1" t="str">
        <f>IF('Raw File'!C79&gt;0,'Raw File'!A79," ")</f>
        <v xml:space="preserve"> </v>
      </c>
      <c r="GY79">
        <f>IF('Raw File'!O79=" "," ",IF('Raw File'!O79&gt;100,'Raw File'!O79,IF('Raw File'!O79="exempt","99999",IF('Raw File'!O79&lt;100, 'Raw File'!O79*2000, " "))))</f>
        <v>0</v>
      </c>
      <c r="HQ79" t="str">
        <f>IF('Raw File'!C79&gt;0,"1"," ")</f>
        <v xml:space="preserve"> </v>
      </c>
    </row>
    <row r="80" spans="1:225" x14ac:dyDescent="0.35">
      <c r="A80" t="str">
        <f>IF('Raw File'!E80&gt;0,'Raw File'!E80, " ")</f>
        <v xml:space="preserve"> </v>
      </c>
      <c r="B80" t="str">
        <f>IF('Raw File'!D80&gt;0,'Raw File'!D80," ")</f>
        <v xml:space="preserve"> </v>
      </c>
      <c r="C80" t="str">
        <f>IF('Raw File'!F80&gt;0,'Raw File'!F80, " ")</f>
        <v xml:space="preserve"> </v>
      </c>
      <c r="D80" s="1" t="str">
        <f>IF('Raw File'!R80&gt;0,'Raw File'!R80, " ")</f>
        <v xml:space="preserve"> </v>
      </c>
      <c r="E80" t="str">
        <f>IF('Raw File'!C80&gt;0, 296, " ")</f>
        <v xml:space="preserve"> </v>
      </c>
      <c r="F80" s="10" t="str">
        <f>IF('Raw File'!C80&gt;0, "5", " ")</f>
        <v xml:space="preserve"> </v>
      </c>
      <c r="G80" t="str">
        <f>IF('Raw File'!C80&gt;0, "X", " ")</f>
        <v xml:space="preserve"> </v>
      </c>
      <c r="H80" t="str">
        <f>IF('Raw File'!N80="H", "S", LEFT('Raw File'!N80, 1))</f>
        <v/>
      </c>
      <c r="J80" t="str">
        <f>IF('Raw File'!J80&gt;0,'Raw File'!J80," ")</f>
        <v xml:space="preserve"> </v>
      </c>
      <c r="L80" t="str">
        <f>IF('Raw File'!M80&gt;0,'Raw File'!M80," ")</f>
        <v xml:space="preserve"> </v>
      </c>
      <c r="M80" t="str">
        <f>IF('Raw File'!K80&gt;0,'Raw File'!K80," ")</f>
        <v xml:space="preserve"> </v>
      </c>
      <c r="N80" t="str">
        <f>IF('Raw File'!L80&gt;0,'Raw File'!L80," ")</f>
        <v xml:space="preserve"> </v>
      </c>
      <c r="U80" t="str">
        <f>IF('Raw File'!Q80&gt;0,'Raw File'!Q80," ")</f>
        <v xml:space="preserve"> </v>
      </c>
      <c r="Y80" t="str">
        <f>IF('Raw File'!C80&gt;0,'Raw File'!C80," ")</f>
        <v xml:space="preserve"> </v>
      </c>
      <c r="Z80" t="str">
        <f>IF('Raw File'!C80&gt;0, "A", " ")</f>
        <v xml:space="preserve"> </v>
      </c>
      <c r="AA80" t="str">
        <f>IF('Raw File'!C80&gt;0, "F", " ")</f>
        <v xml:space="preserve"> </v>
      </c>
      <c r="AB80" t="str">
        <f>IF('Raw File'!H80&gt;0,'Raw File'!H80," ")</f>
        <v xml:space="preserve"> </v>
      </c>
      <c r="AC80" s="11" t="str">
        <f>IF('Raw File'!C80&gt;0,IF(WhatColor('Raw File'!C80)&gt;10,8810,8018)," ")</f>
        <v xml:space="preserve"> </v>
      </c>
      <c r="AD80" s="1" t="str">
        <f>IF('Raw File'!C80&gt;0,'Raw File'!A80," ")</f>
        <v xml:space="preserve"> </v>
      </c>
      <c r="AE80" s="1" t="str">
        <f>IF('Raw File'!C80&gt;0,'Raw File'!A80," ")</f>
        <v xml:space="preserve"> </v>
      </c>
      <c r="AF80" s="1" t="str">
        <f>IF('Raw File'!C80&gt;0,'Raw File'!A80," ")</f>
        <v xml:space="preserve"> </v>
      </c>
      <c r="AG80" t="str">
        <f>IF('Raw File'!C80&gt;0,'Raw File'!C80, " ")</f>
        <v xml:space="preserve"> </v>
      </c>
      <c r="AQ80" t="str">
        <f>IF('Raw File'!G80&gt;0, IF('Raw File'!G80&lt;100, "H", "S"), " ")</f>
        <v xml:space="preserve"> </v>
      </c>
      <c r="AR80" t="str">
        <f>IF('Raw File'!G80&gt;0,'Raw File'!G80," ")</f>
        <v xml:space="preserve"> </v>
      </c>
      <c r="AT80" t="str">
        <f>IF('Raw File'!C80&gt;0,40," ")</f>
        <v xml:space="preserve"> </v>
      </c>
      <c r="AV80" t="str">
        <f>IF('Raw File'!N80= 0, " ", IF('Raw File'!N80="S", "SS", IF( 'Raw File'!N80= "M", "MJ", IF('Raw File'!N80= "H", "H"))))</f>
        <v xml:space="preserve"> </v>
      </c>
      <c r="AW80" s="12"/>
      <c r="AX80" t="str">
        <f>LEFT('Raw File'!P80,1)</f>
        <v/>
      </c>
      <c r="AY80" t="str">
        <f>LEFT('Raw File'!N80,1)</f>
        <v/>
      </c>
      <c r="AZ80">
        <f>IF('Raw File'!O80="exempt",99,IF('Raw File'!O80&gt;0,'Raw File'!O80/2000,IF('Raw File'!O80=0,'Raw File'!O80," ")))</f>
        <v>0</v>
      </c>
      <c r="BA80" t="str">
        <f>LEFT('Raw File'!P80,1)</f>
        <v/>
      </c>
      <c r="BJ80" t="str">
        <f>IF('Raw File'!C80&gt;0,"1"," ")</f>
        <v xml:space="preserve"> </v>
      </c>
      <c r="BX80" t="str">
        <f>IF('Raw File'!C80&gt;0,"WEEKLY"," ")</f>
        <v xml:space="preserve"> </v>
      </c>
      <c r="CA80" t="str">
        <f>IF('Raw File'!C80&gt;0, "N"," ")</f>
        <v xml:space="preserve"> </v>
      </c>
      <c r="CI80" t="str">
        <f>IF('Raw File'!C80&gt;0, "W", " ")</f>
        <v xml:space="preserve"> </v>
      </c>
      <c r="DN80" s="1" t="str">
        <f>IF('Raw File'!C80&gt;0,'Raw File'!A80," ")</f>
        <v xml:space="preserve"> </v>
      </c>
      <c r="GY80">
        <f>IF('Raw File'!O80=" "," ",IF('Raw File'!O80&gt;100,'Raw File'!O80,IF('Raw File'!O80="exempt","99999",IF('Raw File'!O80&lt;100, 'Raw File'!O80*2000, " "))))</f>
        <v>0</v>
      </c>
      <c r="HQ80" t="str">
        <f>IF('Raw File'!C80&gt;0,"1"," ")</f>
        <v xml:space="preserve"> </v>
      </c>
    </row>
    <row r="81" spans="1:225" x14ac:dyDescent="0.35">
      <c r="A81" t="str">
        <f>IF('Raw File'!E81&gt;0,'Raw File'!E81, " ")</f>
        <v xml:space="preserve"> </v>
      </c>
      <c r="B81" t="str">
        <f>IF('Raw File'!D81&gt;0,'Raw File'!D81," ")</f>
        <v xml:space="preserve"> </v>
      </c>
      <c r="C81" t="str">
        <f>IF('Raw File'!F81&gt;0,'Raw File'!F81, " ")</f>
        <v xml:space="preserve"> </v>
      </c>
      <c r="D81" s="1" t="str">
        <f>IF('Raw File'!R81&gt;0,'Raw File'!R81, " ")</f>
        <v xml:space="preserve"> </v>
      </c>
      <c r="E81" t="str">
        <f>IF('Raw File'!C81&gt;0, 296, " ")</f>
        <v xml:space="preserve"> </v>
      </c>
      <c r="F81" s="10" t="str">
        <f>IF('Raw File'!C81&gt;0, "5", " ")</f>
        <v xml:space="preserve"> </v>
      </c>
      <c r="G81" t="str">
        <f>IF('Raw File'!C81&gt;0, "X", " ")</f>
        <v xml:space="preserve"> </v>
      </c>
      <c r="H81" t="str">
        <f>IF('Raw File'!N81="H", "S", LEFT('Raw File'!N81, 1))</f>
        <v/>
      </c>
      <c r="J81" t="str">
        <f>IF('Raw File'!J81&gt;0,'Raw File'!J81," ")</f>
        <v xml:space="preserve"> </v>
      </c>
      <c r="L81" t="str">
        <f>IF('Raw File'!M81&gt;0,'Raw File'!M81," ")</f>
        <v xml:space="preserve"> </v>
      </c>
      <c r="M81" t="str">
        <f>IF('Raw File'!K81&gt;0,'Raw File'!K81," ")</f>
        <v xml:space="preserve"> </v>
      </c>
      <c r="N81" t="str">
        <f>IF('Raw File'!L81&gt;0,'Raw File'!L81," ")</f>
        <v xml:space="preserve"> </v>
      </c>
      <c r="U81" t="str">
        <f>IF('Raw File'!Q81&gt;0,'Raw File'!Q81," ")</f>
        <v xml:space="preserve"> </v>
      </c>
      <c r="Y81" t="str">
        <f>IF('Raw File'!C81&gt;0,'Raw File'!C81," ")</f>
        <v xml:space="preserve"> </v>
      </c>
      <c r="Z81" t="str">
        <f>IF('Raw File'!C81&gt;0, "A", " ")</f>
        <v xml:space="preserve"> </v>
      </c>
      <c r="AA81" t="str">
        <f>IF('Raw File'!C81&gt;0, "F", " ")</f>
        <v xml:space="preserve"> </v>
      </c>
      <c r="AB81" t="str">
        <f>IF('Raw File'!H81&gt;0,'Raw File'!H81," ")</f>
        <v xml:space="preserve"> </v>
      </c>
      <c r="AC81" s="11" t="str">
        <f>IF('Raw File'!C81&gt;0,IF(WhatColor('Raw File'!C81)&gt;10,8810,8018)," ")</f>
        <v xml:space="preserve"> </v>
      </c>
      <c r="AD81" s="1" t="str">
        <f>IF('Raw File'!C81&gt;0,'Raw File'!A81," ")</f>
        <v xml:space="preserve"> </v>
      </c>
      <c r="AE81" s="1" t="str">
        <f>IF('Raw File'!C81&gt;0,'Raw File'!A81," ")</f>
        <v xml:space="preserve"> </v>
      </c>
      <c r="AF81" s="1" t="str">
        <f>IF('Raw File'!C81&gt;0,'Raw File'!A81," ")</f>
        <v xml:space="preserve"> </v>
      </c>
      <c r="AG81" t="str">
        <f>IF('Raw File'!C81&gt;0,'Raw File'!C81, " ")</f>
        <v xml:space="preserve"> </v>
      </c>
      <c r="AQ81" t="str">
        <f>IF('Raw File'!G81&gt;0, IF('Raw File'!G81&lt;100, "H", "S"), " ")</f>
        <v xml:space="preserve"> </v>
      </c>
      <c r="AR81" t="str">
        <f>IF('Raw File'!G81&gt;0,'Raw File'!G81," ")</f>
        <v xml:space="preserve"> </v>
      </c>
      <c r="AT81" t="str">
        <f>IF('Raw File'!C81&gt;0,40," ")</f>
        <v xml:space="preserve"> </v>
      </c>
      <c r="AV81" t="str">
        <f>IF('Raw File'!N81= 0, " ", IF('Raw File'!N81="S", "SS", IF( 'Raw File'!N81= "M", "MJ", IF('Raw File'!N81= "H", "H"))))</f>
        <v xml:space="preserve"> </v>
      </c>
      <c r="AW81" s="12"/>
      <c r="AX81" t="str">
        <f>LEFT('Raw File'!P81,1)</f>
        <v/>
      </c>
      <c r="AY81" t="str">
        <f>LEFT('Raw File'!N81,1)</f>
        <v/>
      </c>
      <c r="AZ81">
        <f>IF('Raw File'!O81="exempt",99,IF('Raw File'!O81&gt;0,'Raw File'!O81/2000,IF('Raw File'!O81=0,'Raw File'!O81," ")))</f>
        <v>0</v>
      </c>
      <c r="BA81" t="str">
        <f>LEFT('Raw File'!P81,1)</f>
        <v/>
      </c>
      <c r="BJ81" t="str">
        <f>IF('Raw File'!C81&gt;0,"1"," ")</f>
        <v xml:space="preserve"> </v>
      </c>
      <c r="BX81" t="str">
        <f>IF('Raw File'!C81&gt;0,"WEEKLY"," ")</f>
        <v xml:space="preserve"> </v>
      </c>
      <c r="CA81" t="str">
        <f>IF('Raw File'!C81&gt;0, "N"," ")</f>
        <v xml:space="preserve"> </v>
      </c>
      <c r="CI81" t="str">
        <f>IF('Raw File'!C81&gt;0, "W", " ")</f>
        <v xml:space="preserve"> </v>
      </c>
      <c r="DN81" s="1" t="str">
        <f>IF('Raw File'!C81&gt;0,'Raw File'!A81," ")</f>
        <v xml:space="preserve"> </v>
      </c>
      <c r="GY81">
        <f>IF('Raw File'!O81=" "," ",IF('Raw File'!O81&gt;100,'Raw File'!O81,IF('Raw File'!O81="exempt","99999",IF('Raw File'!O81&lt;100, 'Raw File'!O81*2000, " "))))</f>
        <v>0</v>
      </c>
      <c r="HQ81" t="str">
        <f>IF('Raw File'!C81&gt;0,"1"," ")</f>
        <v xml:space="preserve"> </v>
      </c>
    </row>
    <row r="82" spans="1:225" x14ac:dyDescent="0.35">
      <c r="A82" t="str">
        <f>IF('Raw File'!E82&gt;0,'Raw File'!E82, " ")</f>
        <v xml:space="preserve"> </v>
      </c>
      <c r="B82" t="str">
        <f>IF('Raw File'!D82&gt;0,'Raw File'!D82," ")</f>
        <v xml:space="preserve"> </v>
      </c>
      <c r="C82" t="str">
        <f>IF('Raw File'!F82&gt;0,'Raw File'!F82, " ")</f>
        <v xml:space="preserve"> </v>
      </c>
      <c r="D82" s="1" t="str">
        <f>IF('Raw File'!R82&gt;0,'Raw File'!R82, " ")</f>
        <v xml:space="preserve"> </v>
      </c>
      <c r="E82" t="str">
        <f>IF('Raw File'!C82&gt;0, 296, " ")</f>
        <v xml:space="preserve"> </v>
      </c>
      <c r="F82" s="10" t="str">
        <f>IF('Raw File'!C82&gt;0, "5", " ")</f>
        <v xml:space="preserve"> </v>
      </c>
      <c r="G82" t="str">
        <f>IF('Raw File'!C82&gt;0, "X", " ")</f>
        <v xml:space="preserve"> </v>
      </c>
      <c r="H82" t="str">
        <f>IF('Raw File'!N82="H", "S", LEFT('Raw File'!N82, 1))</f>
        <v/>
      </c>
      <c r="J82" t="str">
        <f>IF('Raw File'!J82&gt;0,'Raw File'!J82," ")</f>
        <v xml:space="preserve"> </v>
      </c>
      <c r="L82" t="str">
        <f>IF('Raw File'!M82&gt;0,'Raw File'!M82," ")</f>
        <v xml:space="preserve"> </v>
      </c>
      <c r="M82" t="str">
        <f>IF('Raw File'!K82&gt;0,'Raw File'!K82," ")</f>
        <v xml:space="preserve"> </v>
      </c>
      <c r="N82" t="str">
        <f>IF('Raw File'!L82&gt;0,'Raw File'!L82," ")</f>
        <v xml:space="preserve"> </v>
      </c>
      <c r="U82" t="str">
        <f>IF('Raw File'!Q82&gt;0,'Raw File'!Q82," ")</f>
        <v xml:space="preserve"> </v>
      </c>
      <c r="Y82" t="str">
        <f>IF('Raw File'!C82&gt;0,'Raw File'!C82," ")</f>
        <v xml:space="preserve"> </v>
      </c>
      <c r="Z82" t="str">
        <f>IF('Raw File'!C82&gt;0, "A", " ")</f>
        <v xml:space="preserve"> </v>
      </c>
      <c r="AA82" t="str">
        <f>IF('Raw File'!C82&gt;0, "F", " ")</f>
        <v xml:space="preserve"> </v>
      </c>
      <c r="AB82" t="str">
        <f>IF('Raw File'!H82&gt;0,'Raw File'!H82," ")</f>
        <v xml:space="preserve"> </v>
      </c>
      <c r="AC82" s="11" t="str">
        <f>IF('Raw File'!C82&gt;0,IF(WhatColor('Raw File'!C82)&gt;10,8810,8018)," ")</f>
        <v xml:space="preserve"> </v>
      </c>
      <c r="AD82" s="1" t="str">
        <f>IF('Raw File'!C82&gt;0,'Raw File'!A82," ")</f>
        <v xml:space="preserve"> </v>
      </c>
      <c r="AE82" s="1" t="str">
        <f>IF('Raw File'!C82&gt;0,'Raw File'!A82," ")</f>
        <v xml:space="preserve"> </v>
      </c>
      <c r="AF82" s="1" t="str">
        <f>IF('Raw File'!C82&gt;0,'Raw File'!A82," ")</f>
        <v xml:space="preserve"> </v>
      </c>
      <c r="AG82" t="str">
        <f>IF('Raw File'!C82&gt;0,'Raw File'!C82, " ")</f>
        <v xml:space="preserve"> </v>
      </c>
      <c r="AQ82" t="str">
        <f>IF('Raw File'!G82&gt;0, IF('Raw File'!G82&lt;100, "H", "S"), " ")</f>
        <v xml:space="preserve"> </v>
      </c>
      <c r="AR82" t="str">
        <f>IF('Raw File'!G82&gt;0,'Raw File'!G82," ")</f>
        <v xml:space="preserve"> </v>
      </c>
      <c r="AT82" t="str">
        <f>IF('Raw File'!C82&gt;0,40," ")</f>
        <v xml:space="preserve"> </v>
      </c>
      <c r="AV82" t="str">
        <f>IF('Raw File'!N82= 0, " ", IF('Raw File'!N82="S", "SS", IF( 'Raw File'!N82= "M", "MJ", IF('Raw File'!N82= "H", "H"))))</f>
        <v xml:space="preserve"> </v>
      </c>
      <c r="AW82" s="12"/>
      <c r="AX82" t="str">
        <f>LEFT('Raw File'!P82,1)</f>
        <v/>
      </c>
      <c r="AY82" t="str">
        <f>LEFT('Raw File'!N82,1)</f>
        <v/>
      </c>
      <c r="AZ82">
        <f>IF('Raw File'!O82="exempt",99,IF('Raw File'!O82&gt;0,'Raw File'!O82/2000,IF('Raw File'!O82=0,'Raw File'!O82," ")))</f>
        <v>0</v>
      </c>
      <c r="BA82" t="str">
        <f>LEFT('Raw File'!P82,1)</f>
        <v/>
      </c>
      <c r="BJ82" t="str">
        <f>IF('Raw File'!C82&gt;0,"1"," ")</f>
        <v xml:space="preserve"> </v>
      </c>
      <c r="BX82" t="str">
        <f>IF('Raw File'!C82&gt;0,"WEEKLY"," ")</f>
        <v xml:space="preserve"> </v>
      </c>
      <c r="CA82" t="str">
        <f>IF('Raw File'!C82&gt;0, "N"," ")</f>
        <v xml:space="preserve"> </v>
      </c>
      <c r="CI82" t="str">
        <f>IF('Raw File'!C82&gt;0, "W", " ")</f>
        <v xml:space="preserve"> </v>
      </c>
      <c r="DN82" s="1" t="str">
        <f>IF('Raw File'!C82&gt;0,'Raw File'!A82," ")</f>
        <v xml:space="preserve"> </v>
      </c>
      <c r="GY82">
        <f>IF('Raw File'!O82=" "," ",IF('Raw File'!O82&gt;100,'Raw File'!O82,IF('Raw File'!O82="exempt","99999",IF('Raw File'!O82&lt;100, 'Raw File'!O82*2000, " "))))</f>
        <v>0</v>
      </c>
      <c r="HQ82" t="str">
        <f>IF('Raw File'!C82&gt;0,"1"," ")</f>
        <v xml:space="preserve"> </v>
      </c>
    </row>
    <row r="83" spans="1:225" x14ac:dyDescent="0.35">
      <c r="A83" t="str">
        <f>IF('Raw File'!E83&gt;0,'Raw File'!E83, " ")</f>
        <v xml:space="preserve"> </v>
      </c>
      <c r="B83" t="str">
        <f>IF('Raw File'!D83&gt;0,'Raw File'!D83," ")</f>
        <v xml:space="preserve"> </v>
      </c>
      <c r="C83" t="str">
        <f>IF('Raw File'!F83&gt;0,'Raw File'!F83, " ")</f>
        <v xml:space="preserve"> </v>
      </c>
      <c r="D83" s="1" t="str">
        <f>IF('Raw File'!R83&gt;0,'Raw File'!R83, " ")</f>
        <v xml:space="preserve"> </v>
      </c>
      <c r="E83" t="str">
        <f>IF('Raw File'!C83&gt;0, 296, " ")</f>
        <v xml:space="preserve"> </v>
      </c>
      <c r="F83" s="10" t="str">
        <f>IF('Raw File'!C83&gt;0, "5", " ")</f>
        <v xml:space="preserve"> </v>
      </c>
      <c r="G83" t="str">
        <f>IF('Raw File'!C83&gt;0, "X", " ")</f>
        <v xml:space="preserve"> </v>
      </c>
      <c r="H83" t="str">
        <f>IF('Raw File'!N83="H", "S", LEFT('Raw File'!N83, 1))</f>
        <v/>
      </c>
      <c r="J83" t="str">
        <f>IF('Raw File'!J83&gt;0,'Raw File'!J83," ")</f>
        <v xml:space="preserve"> </v>
      </c>
      <c r="L83" t="str">
        <f>IF('Raw File'!M83&gt;0,'Raw File'!M83," ")</f>
        <v xml:space="preserve"> </v>
      </c>
      <c r="M83" t="str">
        <f>IF('Raw File'!K83&gt;0,'Raw File'!K83," ")</f>
        <v xml:space="preserve"> </v>
      </c>
      <c r="N83" t="str">
        <f>IF('Raw File'!L83&gt;0,'Raw File'!L83," ")</f>
        <v xml:space="preserve"> </v>
      </c>
      <c r="U83" t="str">
        <f>IF('Raw File'!Q83&gt;0,'Raw File'!Q83," ")</f>
        <v xml:space="preserve"> </v>
      </c>
      <c r="Y83" t="str">
        <f>IF('Raw File'!C83&gt;0,'Raw File'!C83," ")</f>
        <v xml:space="preserve"> </v>
      </c>
      <c r="Z83" t="str">
        <f>IF('Raw File'!C83&gt;0, "A", " ")</f>
        <v xml:space="preserve"> </v>
      </c>
      <c r="AA83" t="str">
        <f>IF('Raw File'!C83&gt;0, "F", " ")</f>
        <v xml:space="preserve"> </v>
      </c>
      <c r="AB83" t="str">
        <f>IF('Raw File'!H83&gt;0,'Raw File'!H83," ")</f>
        <v xml:space="preserve"> </v>
      </c>
      <c r="AC83" s="11" t="str">
        <f>IF('Raw File'!C83&gt;0,IF(WhatColor('Raw File'!C83)&gt;10,8810,8018)," ")</f>
        <v xml:space="preserve"> </v>
      </c>
      <c r="AD83" s="1" t="str">
        <f>IF('Raw File'!C83&gt;0,'Raw File'!A83," ")</f>
        <v xml:space="preserve"> </v>
      </c>
      <c r="AE83" s="1" t="str">
        <f>IF('Raw File'!C83&gt;0,'Raw File'!A83," ")</f>
        <v xml:space="preserve"> </v>
      </c>
      <c r="AF83" s="1" t="str">
        <f>IF('Raw File'!C83&gt;0,'Raw File'!A83," ")</f>
        <v xml:space="preserve"> </v>
      </c>
      <c r="AG83" t="str">
        <f>IF('Raw File'!C83&gt;0,'Raw File'!C83, " ")</f>
        <v xml:space="preserve"> </v>
      </c>
      <c r="AQ83" t="str">
        <f>IF('Raw File'!G83&gt;0, IF('Raw File'!G83&lt;100, "H", "S"), " ")</f>
        <v xml:space="preserve"> </v>
      </c>
      <c r="AR83" t="str">
        <f>IF('Raw File'!G83&gt;0,'Raw File'!G83," ")</f>
        <v xml:space="preserve"> </v>
      </c>
      <c r="AT83" t="str">
        <f>IF('Raw File'!C83&gt;0,40," ")</f>
        <v xml:space="preserve"> </v>
      </c>
      <c r="AV83" t="str">
        <f>IF('Raw File'!N83= 0, " ", IF('Raw File'!N83="S", "SS", IF( 'Raw File'!N83= "M", "MJ", IF('Raw File'!N83= "H", "H"))))</f>
        <v xml:space="preserve"> </v>
      </c>
      <c r="AW83" s="12"/>
      <c r="AX83" t="str">
        <f>LEFT('Raw File'!P83,1)</f>
        <v/>
      </c>
      <c r="AY83" t="str">
        <f>LEFT('Raw File'!N83,1)</f>
        <v/>
      </c>
      <c r="AZ83">
        <f>IF('Raw File'!O83="exempt",99,IF('Raw File'!O83&gt;0,'Raw File'!O83/2000,IF('Raw File'!O83=0,'Raw File'!O83," ")))</f>
        <v>0</v>
      </c>
      <c r="BA83" t="str">
        <f>LEFT('Raw File'!P83,1)</f>
        <v/>
      </c>
      <c r="BJ83" t="str">
        <f>IF('Raw File'!C83&gt;0,"1"," ")</f>
        <v xml:space="preserve"> </v>
      </c>
      <c r="BX83" t="str">
        <f>IF('Raw File'!C83&gt;0,"WEEKLY"," ")</f>
        <v xml:space="preserve"> </v>
      </c>
      <c r="CA83" t="str">
        <f>IF('Raw File'!C83&gt;0, "N"," ")</f>
        <v xml:space="preserve"> </v>
      </c>
      <c r="CI83" t="str">
        <f>IF('Raw File'!C83&gt;0, "W", " ")</f>
        <v xml:space="preserve"> </v>
      </c>
      <c r="DN83" s="1" t="str">
        <f>IF('Raw File'!C83&gt;0,'Raw File'!A83," ")</f>
        <v xml:space="preserve"> </v>
      </c>
      <c r="GY83">
        <f>IF('Raw File'!O83=" "," ",IF('Raw File'!O83&gt;100,'Raw File'!O83,IF('Raw File'!O83="exempt","99999",IF('Raw File'!O83&lt;100, 'Raw File'!O83*2000, " "))))</f>
        <v>0</v>
      </c>
      <c r="HQ83" t="str">
        <f>IF('Raw File'!C83&gt;0,"1"," ")</f>
        <v xml:space="preserve"> </v>
      </c>
    </row>
    <row r="84" spans="1:225" x14ac:dyDescent="0.35">
      <c r="A84" t="str">
        <f>IF('Raw File'!E84&gt;0,'Raw File'!E84, " ")</f>
        <v xml:space="preserve"> </v>
      </c>
      <c r="B84" t="str">
        <f>IF('Raw File'!D84&gt;0,'Raw File'!D84," ")</f>
        <v xml:space="preserve"> </v>
      </c>
      <c r="C84" t="str">
        <f>IF('Raw File'!F84&gt;0,'Raw File'!F84, " ")</f>
        <v xml:space="preserve"> </v>
      </c>
      <c r="D84" s="1" t="str">
        <f>IF('Raw File'!R84&gt;0,'Raw File'!R84, " ")</f>
        <v xml:space="preserve"> </v>
      </c>
      <c r="E84" t="str">
        <f>IF('Raw File'!C84&gt;0, 296, " ")</f>
        <v xml:space="preserve"> </v>
      </c>
      <c r="F84" s="10" t="str">
        <f>IF('Raw File'!C84&gt;0, "5", " ")</f>
        <v xml:space="preserve"> </v>
      </c>
      <c r="G84" t="str">
        <f>IF('Raw File'!C84&gt;0, "X", " ")</f>
        <v xml:space="preserve"> </v>
      </c>
      <c r="H84" t="str">
        <f>IF('Raw File'!N84="H", "S", LEFT('Raw File'!N84, 1))</f>
        <v/>
      </c>
      <c r="J84" t="str">
        <f>IF('Raw File'!J84&gt;0,'Raw File'!J84," ")</f>
        <v xml:space="preserve"> </v>
      </c>
      <c r="L84" t="str">
        <f>IF('Raw File'!M84&gt;0,'Raw File'!M84," ")</f>
        <v xml:space="preserve"> </v>
      </c>
      <c r="M84" t="str">
        <f>IF('Raw File'!K84&gt;0,'Raw File'!K84," ")</f>
        <v xml:space="preserve"> </v>
      </c>
      <c r="N84" t="str">
        <f>IF('Raw File'!L84&gt;0,'Raw File'!L84," ")</f>
        <v xml:space="preserve"> </v>
      </c>
      <c r="U84" t="str">
        <f>IF('Raw File'!Q84&gt;0,'Raw File'!Q84," ")</f>
        <v xml:space="preserve"> </v>
      </c>
      <c r="Y84" t="str">
        <f>IF('Raw File'!C84&gt;0,'Raw File'!C84," ")</f>
        <v xml:space="preserve"> </v>
      </c>
      <c r="Z84" t="str">
        <f>IF('Raw File'!C84&gt;0, "A", " ")</f>
        <v xml:space="preserve"> </v>
      </c>
      <c r="AA84" t="str">
        <f>IF('Raw File'!C84&gt;0, "F", " ")</f>
        <v xml:space="preserve"> </v>
      </c>
      <c r="AB84" t="str">
        <f>IF('Raw File'!H84&gt;0,'Raw File'!H84," ")</f>
        <v xml:space="preserve"> </v>
      </c>
      <c r="AC84" s="11" t="str">
        <f>IF('Raw File'!C84&gt;0,IF(WhatColor('Raw File'!C84)&gt;10,8810,8018)," ")</f>
        <v xml:space="preserve"> </v>
      </c>
      <c r="AD84" s="1" t="str">
        <f>IF('Raw File'!C84&gt;0,'Raw File'!A84," ")</f>
        <v xml:space="preserve"> </v>
      </c>
      <c r="AE84" s="1" t="str">
        <f>IF('Raw File'!C84&gt;0,'Raw File'!A84," ")</f>
        <v xml:space="preserve"> </v>
      </c>
      <c r="AF84" s="1" t="str">
        <f>IF('Raw File'!C84&gt;0,'Raw File'!A84," ")</f>
        <v xml:space="preserve"> </v>
      </c>
      <c r="AG84" t="str">
        <f>IF('Raw File'!C84&gt;0,'Raw File'!C84, " ")</f>
        <v xml:space="preserve"> </v>
      </c>
      <c r="AQ84" t="str">
        <f>IF('Raw File'!G84&gt;0, IF('Raw File'!G84&lt;100, "H", "S"), " ")</f>
        <v xml:space="preserve"> </v>
      </c>
      <c r="AR84" t="str">
        <f>IF('Raw File'!G84&gt;0,'Raw File'!G84," ")</f>
        <v xml:space="preserve"> </v>
      </c>
      <c r="AT84" t="str">
        <f>IF('Raw File'!C84&gt;0,40," ")</f>
        <v xml:space="preserve"> </v>
      </c>
      <c r="AV84" t="str">
        <f>IF('Raw File'!N84= 0, " ", IF('Raw File'!N84="S", "SS", IF( 'Raw File'!N84= "M", "MJ", IF('Raw File'!N84= "H", "H"))))</f>
        <v xml:space="preserve"> </v>
      </c>
      <c r="AW84" s="12"/>
      <c r="AX84" t="str">
        <f>LEFT('Raw File'!P84,1)</f>
        <v/>
      </c>
      <c r="AY84" t="str">
        <f>LEFT('Raw File'!N84,1)</f>
        <v/>
      </c>
      <c r="AZ84">
        <f>IF('Raw File'!O84="exempt",99,IF('Raw File'!O84&gt;0,'Raw File'!O84/2000,IF('Raw File'!O84=0,'Raw File'!O84," ")))</f>
        <v>0</v>
      </c>
      <c r="BA84" t="str">
        <f>LEFT('Raw File'!P84,1)</f>
        <v/>
      </c>
      <c r="BJ84" t="str">
        <f>IF('Raw File'!C84&gt;0,"1"," ")</f>
        <v xml:space="preserve"> </v>
      </c>
      <c r="BX84" t="str">
        <f>IF('Raw File'!C84&gt;0,"WEEKLY"," ")</f>
        <v xml:space="preserve"> </v>
      </c>
      <c r="CA84" t="str">
        <f>IF('Raw File'!C84&gt;0, "N"," ")</f>
        <v xml:space="preserve"> </v>
      </c>
      <c r="CI84" t="str">
        <f>IF('Raw File'!C84&gt;0, "W", " ")</f>
        <v xml:space="preserve"> </v>
      </c>
      <c r="DN84" s="1" t="str">
        <f>IF('Raw File'!C84&gt;0,'Raw File'!A84," ")</f>
        <v xml:space="preserve"> </v>
      </c>
      <c r="GY84">
        <f>IF('Raw File'!O84=" "," ",IF('Raw File'!O84&gt;100,'Raw File'!O84,IF('Raw File'!O84="exempt","99999",IF('Raw File'!O84&lt;100, 'Raw File'!O84*2000, " "))))</f>
        <v>0</v>
      </c>
      <c r="HQ84" t="str">
        <f>IF('Raw File'!C84&gt;0,"1"," ")</f>
        <v xml:space="preserve"> </v>
      </c>
    </row>
    <row r="85" spans="1:225" x14ac:dyDescent="0.35">
      <c r="A85" t="str">
        <f>IF('Raw File'!E85&gt;0,'Raw File'!E85, " ")</f>
        <v xml:space="preserve"> </v>
      </c>
      <c r="B85" t="str">
        <f>IF('Raw File'!D85&gt;0,'Raw File'!D85," ")</f>
        <v xml:space="preserve"> </v>
      </c>
      <c r="C85" t="str">
        <f>IF('Raw File'!F85&gt;0,'Raw File'!F85, " ")</f>
        <v xml:space="preserve"> </v>
      </c>
      <c r="D85" s="1" t="str">
        <f>IF('Raw File'!R85&gt;0,'Raw File'!R85, " ")</f>
        <v xml:space="preserve"> </v>
      </c>
      <c r="E85" t="str">
        <f>IF('Raw File'!C85&gt;0, 296, " ")</f>
        <v xml:space="preserve"> </v>
      </c>
      <c r="F85" s="10" t="str">
        <f>IF('Raw File'!C85&gt;0, "5", " ")</f>
        <v xml:space="preserve"> </v>
      </c>
      <c r="G85" t="str">
        <f>IF('Raw File'!C85&gt;0, "X", " ")</f>
        <v xml:space="preserve"> </v>
      </c>
      <c r="H85" t="str">
        <f>IF('Raw File'!N85="H", "S", LEFT('Raw File'!N85, 1))</f>
        <v/>
      </c>
      <c r="J85" t="str">
        <f>IF('Raw File'!J85&gt;0,'Raw File'!J85," ")</f>
        <v xml:space="preserve"> </v>
      </c>
      <c r="L85" t="str">
        <f>IF('Raw File'!M85&gt;0,'Raw File'!M85," ")</f>
        <v xml:space="preserve"> </v>
      </c>
      <c r="M85" t="str">
        <f>IF('Raw File'!K85&gt;0,'Raw File'!K85," ")</f>
        <v xml:space="preserve"> </v>
      </c>
      <c r="N85" t="str">
        <f>IF('Raw File'!L85&gt;0,'Raw File'!L85," ")</f>
        <v xml:space="preserve"> </v>
      </c>
      <c r="U85" t="str">
        <f>IF('Raw File'!Q85&gt;0,'Raw File'!Q85," ")</f>
        <v xml:space="preserve"> </v>
      </c>
      <c r="Y85" t="str">
        <f>IF('Raw File'!C85&gt;0,'Raw File'!C85," ")</f>
        <v xml:space="preserve"> </v>
      </c>
      <c r="Z85" t="str">
        <f>IF('Raw File'!C85&gt;0, "A", " ")</f>
        <v xml:space="preserve"> </v>
      </c>
      <c r="AA85" t="str">
        <f>IF('Raw File'!C85&gt;0, "F", " ")</f>
        <v xml:space="preserve"> </v>
      </c>
      <c r="AB85" t="str">
        <f>IF('Raw File'!H85&gt;0,'Raw File'!H85," ")</f>
        <v xml:space="preserve"> </v>
      </c>
      <c r="AC85" s="11" t="str">
        <f>IF('Raw File'!C85&gt;0,IF(WhatColor('Raw File'!C85)&gt;10,8810,8018)," ")</f>
        <v xml:space="preserve"> </v>
      </c>
      <c r="AD85" s="1" t="str">
        <f>IF('Raw File'!C85&gt;0,'Raw File'!A85," ")</f>
        <v xml:space="preserve"> </v>
      </c>
      <c r="AE85" s="1" t="str">
        <f>IF('Raw File'!C85&gt;0,'Raw File'!A85," ")</f>
        <v xml:space="preserve"> </v>
      </c>
      <c r="AF85" s="1" t="str">
        <f>IF('Raw File'!C85&gt;0,'Raw File'!A85," ")</f>
        <v xml:space="preserve"> </v>
      </c>
      <c r="AG85" t="str">
        <f>IF('Raw File'!C85&gt;0,'Raw File'!C85, " ")</f>
        <v xml:space="preserve"> </v>
      </c>
      <c r="AQ85" t="str">
        <f>IF('Raw File'!G85&gt;0, IF('Raw File'!G85&lt;100, "H", "S"), " ")</f>
        <v xml:space="preserve"> </v>
      </c>
      <c r="AR85" t="str">
        <f>IF('Raw File'!G85&gt;0,'Raw File'!G85," ")</f>
        <v xml:space="preserve"> </v>
      </c>
      <c r="AT85" t="str">
        <f>IF('Raw File'!C85&gt;0,40," ")</f>
        <v xml:space="preserve"> </v>
      </c>
      <c r="AV85" t="str">
        <f>IF('Raw File'!N85= 0, " ", IF('Raw File'!N85="S", "SS", IF( 'Raw File'!N85= "M", "MJ", IF('Raw File'!N85= "H", "H"))))</f>
        <v xml:space="preserve"> </v>
      </c>
      <c r="AW85" s="12"/>
      <c r="AX85" t="str">
        <f>LEFT('Raw File'!P85,1)</f>
        <v/>
      </c>
      <c r="AY85" t="str">
        <f>LEFT('Raw File'!N85,1)</f>
        <v/>
      </c>
      <c r="AZ85">
        <f>IF('Raw File'!O85="exempt",99,IF('Raw File'!O85&gt;0,'Raw File'!O85/2000,IF('Raw File'!O85=0,'Raw File'!O85," ")))</f>
        <v>0</v>
      </c>
      <c r="BA85" t="str">
        <f>LEFT('Raw File'!P85,1)</f>
        <v/>
      </c>
      <c r="BJ85" t="str">
        <f>IF('Raw File'!C85&gt;0,"1"," ")</f>
        <v xml:space="preserve"> </v>
      </c>
      <c r="BX85" t="str">
        <f>IF('Raw File'!C85&gt;0,"WEEKLY"," ")</f>
        <v xml:space="preserve"> </v>
      </c>
      <c r="CA85" t="str">
        <f>IF('Raw File'!C85&gt;0, "N"," ")</f>
        <v xml:space="preserve"> </v>
      </c>
      <c r="CI85" t="str">
        <f>IF('Raw File'!C85&gt;0, "W", " ")</f>
        <v xml:space="preserve"> </v>
      </c>
      <c r="DN85" s="1" t="str">
        <f>IF('Raw File'!C85&gt;0,'Raw File'!A85," ")</f>
        <v xml:space="preserve"> </v>
      </c>
      <c r="GY85">
        <f>IF('Raw File'!O85=" "," ",IF('Raw File'!O85&gt;100,'Raw File'!O85,IF('Raw File'!O85="exempt","99999",IF('Raw File'!O85&lt;100, 'Raw File'!O85*2000, " "))))</f>
        <v>0</v>
      </c>
      <c r="HQ85" t="str">
        <f>IF('Raw File'!C85&gt;0,"1"," ")</f>
        <v xml:space="preserve"> </v>
      </c>
    </row>
    <row r="86" spans="1:225" x14ac:dyDescent="0.35">
      <c r="A86" t="str">
        <f>IF('Raw File'!E86&gt;0,'Raw File'!E86, " ")</f>
        <v xml:space="preserve"> </v>
      </c>
      <c r="B86" t="str">
        <f>IF('Raw File'!D86&gt;0,'Raw File'!D86," ")</f>
        <v xml:space="preserve"> </v>
      </c>
      <c r="C86" t="str">
        <f>IF('Raw File'!F86&gt;0,'Raw File'!F86, " ")</f>
        <v xml:space="preserve"> </v>
      </c>
      <c r="D86" s="1" t="str">
        <f>IF('Raw File'!R86&gt;0,'Raw File'!R86, " ")</f>
        <v xml:space="preserve"> </v>
      </c>
      <c r="E86" t="str">
        <f>IF('Raw File'!C86&gt;0, 296, " ")</f>
        <v xml:space="preserve"> </v>
      </c>
      <c r="F86" s="10" t="str">
        <f>IF('Raw File'!C86&gt;0, "5", " ")</f>
        <v xml:space="preserve"> </v>
      </c>
      <c r="G86" t="str">
        <f>IF('Raw File'!C86&gt;0, "X", " ")</f>
        <v xml:space="preserve"> </v>
      </c>
      <c r="H86" t="str">
        <f>IF('Raw File'!N86="H", "S", LEFT('Raw File'!N86, 1))</f>
        <v/>
      </c>
      <c r="J86" t="str">
        <f>IF('Raw File'!J86&gt;0,'Raw File'!J86," ")</f>
        <v xml:space="preserve"> </v>
      </c>
      <c r="L86" t="str">
        <f>IF('Raw File'!M86&gt;0,'Raw File'!M86," ")</f>
        <v xml:space="preserve"> </v>
      </c>
      <c r="M86" t="str">
        <f>IF('Raw File'!K86&gt;0,'Raw File'!K86," ")</f>
        <v xml:space="preserve"> </v>
      </c>
      <c r="N86" t="str">
        <f>IF('Raw File'!L86&gt;0,'Raw File'!L86," ")</f>
        <v xml:space="preserve"> </v>
      </c>
      <c r="U86" t="str">
        <f>IF('Raw File'!Q86&gt;0,'Raw File'!Q86," ")</f>
        <v xml:space="preserve"> </v>
      </c>
      <c r="Y86" t="str">
        <f>IF('Raw File'!C86&gt;0,'Raw File'!C86," ")</f>
        <v xml:space="preserve"> </v>
      </c>
      <c r="Z86" t="str">
        <f>IF('Raw File'!C86&gt;0, "A", " ")</f>
        <v xml:space="preserve"> </v>
      </c>
      <c r="AA86" t="str">
        <f>IF('Raw File'!C86&gt;0, "F", " ")</f>
        <v xml:space="preserve"> </v>
      </c>
      <c r="AB86" t="str">
        <f>IF('Raw File'!H86&gt;0,'Raw File'!H86," ")</f>
        <v xml:space="preserve"> </v>
      </c>
      <c r="AC86" s="11" t="str">
        <f>IF('Raw File'!C86&gt;0,IF(WhatColor('Raw File'!C86)&gt;10,8810,8018)," ")</f>
        <v xml:space="preserve"> </v>
      </c>
      <c r="AD86" s="1" t="str">
        <f>IF('Raw File'!C86&gt;0,'Raw File'!A86," ")</f>
        <v xml:space="preserve"> </v>
      </c>
      <c r="AE86" s="1" t="str">
        <f>IF('Raw File'!C86&gt;0,'Raw File'!A86," ")</f>
        <v xml:space="preserve"> </v>
      </c>
      <c r="AF86" s="1" t="str">
        <f>IF('Raw File'!C86&gt;0,'Raw File'!A86," ")</f>
        <v xml:space="preserve"> </v>
      </c>
      <c r="AG86" t="str">
        <f>IF('Raw File'!C86&gt;0,'Raw File'!C86, " ")</f>
        <v xml:space="preserve"> </v>
      </c>
      <c r="AQ86" t="str">
        <f>IF('Raw File'!G86&gt;0, IF('Raw File'!G86&lt;100, "H", "S"), " ")</f>
        <v xml:space="preserve"> </v>
      </c>
      <c r="AR86" t="str">
        <f>IF('Raw File'!G86&gt;0,'Raw File'!G86," ")</f>
        <v xml:space="preserve"> </v>
      </c>
      <c r="AT86" t="str">
        <f>IF('Raw File'!C86&gt;0,40," ")</f>
        <v xml:space="preserve"> </v>
      </c>
      <c r="AV86" t="str">
        <f>IF('Raw File'!N86= 0, " ", IF('Raw File'!N86="S", "SS", IF( 'Raw File'!N86= "M", "MJ", IF('Raw File'!N86= "H", "H"))))</f>
        <v xml:space="preserve"> </v>
      </c>
      <c r="AW86" s="12"/>
      <c r="AX86" t="str">
        <f>LEFT('Raw File'!P86,1)</f>
        <v/>
      </c>
      <c r="AY86" t="str">
        <f>LEFT('Raw File'!N86,1)</f>
        <v/>
      </c>
      <c r="AZ86">
        <f>IF('Raw File'!O86="exempt",99,IF('Raw File'!O86&gt;0,'Raw File'!O86/2000,IF('Raw File'!O86=0,'Raw File'!O86," ")))</f>
        <v>0</v>
      </c>
      <c r="BA86" t="str">
        <f>LEFT('Raw File'!P86,1)</f>
        <v/>
      </c>
      <c r="BJ86" t="str">
        <f>IF('Raw File'!C86&gt;0,"1"," ")</f>
        <v xml:space="preserve"> </v>
      </c>
      <c r="BX86" t="str">
        <f>IF('Raw File'!C86&gt;0,"WEEKLY"," ")</f>
        <v xml:space="preserve"> </v>
      </c>
      <c r="CA86" t="str">
        <f>IF('Raw File'!C86&gt;0, "N"," ")</f>
        <v xml:space="preserve"> </v>
      </c>
      <c r="CI86" t="str">
        <f>IF('Raw File'!C86&gt;0, "W", " ")</f>
        <v xml:space="preserve"> </v>
      </c>
      <c r="DN86" s="1" t="str">
        <f>IF('Raw File'!C86&gt;0,'Raw File'!A86," ")</f>
        <v xml:space="preserve"> </v>
      </c>
      <c r="GY86">
        <f>IF('Raw File'!O86=" "," ",IF('Raw File'!O86&gt;100,'Raw File'!O86,IF('Raw File'!O86="exempt","99999",IF('Raw File'!O86&lt;100, 'Raw File'!O86*2000, " "))))</f>
        <v>0</v>
      </c>
      <c r="HQ86" t="str">
        <f>IF('Raw File'!C86&gt;0,"1"," ")</f>
        <v xml:space="preserve"> </v>
      </c>
    </row>
    <row r="87" spans="1:225" x14ac:dyDescent="0.35">
      <c r="A87" t="str">
        <f>IF('Raw File'!E87&gt;0,'Raw File'!E87, " ")</f>
        <v xml:space="preserve"> </v>
      </c>
      <c r="B87" t="str">
        <f>IF('Raw File'!D87&gt;0,'Raw File'!D87," ")</f>
        <v xml:space="preserve"> </v>
      </c>
      <c r="C87" t="str">
        <f>IF('Raw File'!F87&gt;0,'Raw File'!F87, " ")</f>
        <v xml:space="preserve"> </v>
      </c>
      <c r="D87" s="1" t="str">
        <f>IF('Raw File'!R87&gt;0,'Raw File'!R87, " ")</f>
        <v xml:space="preserve"> </v>
      </c>
      <c r="E87" t="str">
        <f>IF('Raw File'!C87&gt;0, 296, " ")</f>
        <v xml:space="preserve"> </v>
      </c>
      <c r="F87" s="10" t="str">
        <f>IF('Raw File'!C87&gt;0, "5", " ")</f>
        <v xml:space="preserve"> </v>
      </c>
      <c r="G87" t="str">
        <f>IF('Raw File'!C87&gt;0, "X", " ")</f>
        <v xml:space="preserve"> </v>
      </c>
      <c r="H87" t="str">
        <f>IF('Raw File'!N87="H", "S", LEFT('Raw File'!N87, 1))</f>
        <v/>
      </c>
      <c r="J87" t="str">
        <f>IF('Raw File'!J87&gt;0,'Raw File'!J87," ")</f>
        <v xml:space="preserve"> </v>
      </c>
      <c r="L87" t="str">
        <f>IF('Raw File'!M87&gt;0,'Raw File'!M87," ")</f>
        <v xml:space="preserve"> </v>
      </c>
      <c r="M87" t="str">
        <f>IF('Raw File'!K87&gt;0,'Raw File'!K87," ")</f>
        <v xml:space="preserve"> </v>
      </c>
      <c r="N87" t="str">
        <f>IF('Raw File'!L87&gt;0,'Raw File'!L87," ")</f>
        <v xml:space="preserve"> </v>
      </c>
      <c r="U87" t="str">
        <f>IF('Raw File'!Q87&gt;0,'Raw File'!Q87," ")</f>
        <v xml:space="preserve"> </v>
      </c>
      <c r="Y87" t="str">
        <f>IF('Raw File'!C87&gt;0,'Raw File'!C87," ")</f>
        <v xml:space="preserve"> </v>
      </c>
      <c r="Z87" t="str">
        <f>IF('Raw File'!C87&gt;0, "A", " ")</f>
        <v xml:space="preserve"> </v>
      </c>
      <c r="AA87" t="str">
        <f>IF('Raw File'!C87&gt;0, "F", " ")</f>
        <v xml:space="preserve"> </v>
      </c>
      <c r="AB87" t="str">
        <f>IF('Raw File'!H87&gt;0,'Raw File'!H87," ")</f>
        <v xml:space="preserve"> </v>
      </c>
      <c r="AC87" s="11" t="str">
        <f>IF('Raw File'!C87&gt;0,IF(WhatColor('Raw File'!C87)&gt;10,8810,8018)," ")</f>
        <v xml:space="preserve"> </v>
      </c>
      <c r="AD87" s="1" t="str">
        <f>IF('Raw File'!C87&gt;0,'Raw File'!A87," ")</f>
        <v xml:space="preserve"> </v>
      </c>
      <c r="AE87" s="1" t="str">
        <f>IF('Raw File'!C87&gt;0,'Raw File'!A87," ")</f>
        <v xml:space="preserve"> </v>
      </c>
      <c r="AF87" s="1" t="str">
        <f>IF('Raw File'!C87&gt;0,'Raw File'!A87," ")</f>
        <v xml:space="preserve"> </v>
      </c>
      <c r="AG87" t="str">
        <f>IF('Raw File'!C87&gt;0,'Raw File'!C87, " ")</f>
        <v xml:space="preserve"> </v>
      </c>
      <c r="AQ87" t="str">
        <f>IF('Raw File'!G87&gt;0, IF('Raw File'!G87&lt;100, "H", "S"), " ")</f>
        <v xml:space="preserve"> </v>
      </c>
      <c r="AR87" t="str">
        <f>IF('Raw File'!G87&gt;0,'Raw File'!G87," ")</f>
        <v xml:space="preserve"> </v>
      </c>
      <c r="AT87" t="str">
        <f>IF('Raw File'!C87&gt;0,40," ")</f>
        <v xml:space="preserve"> </v>
      </c>
      <c r="AV87" t="str">
        <f>IF('Raw File'!N87= 0, " ", IF('Raw File'!N87="S", "SS", IF( 'Raw File'!N87= "M", "MJ", IF('Raw File'!N87= "H", "H"))))</f>
        <v xml:space="preserve"> </v>
      </c>
      <c r="AW87" s="12"/>
      <c r="AX87" t="str">
        <f>LEFT('Raw File'!P87,1)</f>
        <v/>
      </c>
      <c r="AY87" t="str">
        <f>LEFT('Raw File'!N87,1)</f>
        <v/>
      </c>
      <c r="AZ87">
        <f>IF('Raw File'!O87="exempt",99,IF('Raw File'!O87&gt;0,'Raw File'!O87/2000,IF('Raw File'!O87=0,'Raw File'!O87," ")))</f>
        <v>0</v>
      </c>
      <c r="BA87" t="str">
        <f>LEFT('Raw File'!P87,1)</f>
        <v/>
      </c>
      <c r="BJ87" t="str">
        <f>IF('Raw File'!C87&gt;0,"1"," ")</f>
        <v xml:space="preserve"> </v>
      </c>
      <c r="BX87" t="str">
        <f>IF('Raw File'!C87&gt;0,"WEEKLY"," ")</f>
        <v xml:space="preserve"> </v>
      </c>
      <c r="CA87" t="str">
        <f>IF('Raw File'!C87&gt;0, "N"," ")</f>
        <v xml:space="preserve"> </v>
      </c>
      <c r="CI87" t="str">
        <f>IF('Raw File'!C87&gt;0, "W", " ")</f>
        <v xml:space="preserve"> </v>
      </c>
      <c r="DN87" s="1" t="str">
        <f>IF('Raw File'!C87&gt;0,'Raw File'!A87," ")</f>
        <v xml:space="preserve"> </v>
      </c>
      <c r="GY87">
        <f>IF('Raw File'!O87=" "," ",IF('Raw File'!O87&gt;100,'Raw File'!O87,IF('Raw File'!O87="exempt","99999",IF('Raw File'!O87&lt;100, 'Raw File'!O87*2000, " "))))</f>
        <v>0</v>
      </c>
      <c r="HQ87" t="str">
        <f>IF('Raw File'!C87&gt;0,"1"," ")</f>
        <v xml:space="preserve"> </v>
      </c>
    </row>
    <row r="88" spans="1:225" x14ac:dyDescent="0.35">
      <c r="A88" t="str">
        <f>IF('Raw File'!E88&gt;0,'Raw File'!E88, " ")</f>
        <v xml:space="preserve"> </v>
      </c>
      <c r="B88" t="str">
        <f>IF('Raw File'!D88&gt;0,'Raw File'!D88," ")</f>
        <v xml:space="preserve"> </v>
      </c>
      <c r="C88" t="str">
        <f>IF('Raw File'!F88&gt;0,'Raw File'!F88, " ")</f>
        <v xml:space="preserve"> </v>
      </c>
      <c r="D88" s="1" t="str">
        <f>IF('Raw File'!R88&gt;0,'Raw File'!R88, " ")</f>
        <v xml:space="preserve"> </v>
      </c>
      <c r="E88" t="str">
        <f>IF('Raw File'!C88&gt;0, 296, " ")</f>
        <v xml:space="preserve"> </v>
      </c>
      <c r="F88" s="10" t="str">
        <f>IF('Raw File'!C88&gt;0, "5", " ")</f>
        <v xml:space="preserve"> </v>
      </c>
      <c r="G88" t="str">
        <f>IF('Raw File'!C88&gt;0, "X", " ")</f>
        <v xml:space="preserve"> </v>
      </c>
      <c r="H88" t="str">
        <f>IF('Raw File'!N88="H", "S", LEFT('Raw File'!N88, 1))</f>
        <v/>
      </c>
      <c r="J88" t="str">
        <f>IF('Raw File'!J88&gt;0,'Raw File'!J88," ")</f>
        <v xml:space="preserve"> </v>
      </c>
      <c r="L88" t="str">
        <f>IF('Raw File'!M88&gt;0,'Raw File'!M88," ")</f>
        <v xml:space="preserve"> </v>
      </c>
      <c r="M88" t="str">
        <f>IF('Raw File'!K88&gt;0,'Raw File'!K88," ")</f>
        <v xml:space="preserve"> </v>
      </c>
      <c r="N88" t="str">
        <f>IF('Raw File'!L88&gt;0,'Raw File'!L88," ")</f>
        <v xml:space="preserve"> </v>
      </c>
      <c r="U88" t="str">
        <f>IF('Raw File'!Q88&gt;0,'Raw File'!Q88," ")</f>
        <v xml:space="preserve"> </v>
      </c>
      <c r="Y88" t="str">
        <f>IF('Raw File'!C88&gt;0,'Raw File'!C88," ")</f>
        <v xml:space="preserve"> </v>
      </c>
      <c r="Z88" t="str">
        <f>IF('Raw File'!C88&gt;0, "A", " ")</f>
        <v xml:space="preserve"> </v>
      </c>
      <c r="AA88" t="str">
        <f>IF('Raw File'!C88&gt;0, "F", " ")</f>
        <v xml:space="preserve"> </v>
      </c>
      <c r="AB88" t="str">
        <f>IF('Raw File'!H88&gt;0,'Raw File'!H88," ")</f>
        <v xml:space="preserve"> </v>
      </c>
      <c r="AC88" s="11" t="str">
        <f>IF('Raw File'!C88&gt;0,IF(WhatColor('Raw File'!C88)&gt;10,8810,8018)," ")</f>
        <v xml:space="preserve"> </v>
      </c>
      <c r="AD88" s="1" t="str">
        <f>IF('Raw File'!C88&gt;0,'Raw File'!A88," ")</f>
        <v xml:space="preserve"> </v>
      </c>
      <c r="AE88" s="1" t="str">
        <f>IF('Raw File'!C88&gt;0,'Raw File'!A88," ")</f>
        <v xml:space="preserve"> </v>
      </c>
      <c r="AF88" s="1" t="str">
        <f>IF('Raw File'!C88&gt;0,'Raw File'!A88," ")</f>
        <v xml:space="preserve"> </v>
      </c>
      <c r="AG88" t="str">
        <f>IF('Raw File'!C88&gt;0,'Raw File'!C88, " ")</f>
        <v xml:space="preserve"> </v>
      </c>
      <c r="AQ88" t="str">
        <f>IF('Raw File'!G88&gt;0, IF('Raw File'!G88&lt;100, "H", "S"), " ")</f>
        <v xml:space="preserve"> </v>
      </c>
      <c r="AR88" t="str">
        <f>IF('Raw File'!G88&gt;0,'Raw File'!G88," ")</f>
        <v xml:space="preserve"> </v>
      </c>
      <c r="AT88" t="str">
        <f>IF('Raw File'!C88&gt;0,40," ")</f>
        <v xml:space="preserve"> </v>
      </c>
      <c r="AV88" t="str">
        <f>IF('Raw File'!N88= 0, " ", IF('Raw File'!N88="S", "SS", IF( 'Raw File'!N88= "M", "MJ", IF('Raw File'!N88= "H", "H"))))</f>
        <v xml:space="preserve"> </v>
      </c>
      <c r="AW88" s="12"/>
      <c r="AX88" t="str">
        <f>LEFT('Raw File'!P88,1)</f>
        <v/>
      </c>
      <c r="AY88" t="str">
        <f>LEFT('Raw File'!N88,1)</f>
        <v/>
      </c>
      <c r="AZ88">
        <f>IF('Raw File'!O88="exempt",99,IF('Raw File'!O88&gt;0,'Raw File'!O88/2000,IF('Raw File'!O88=0,'Raw File'!O88," ")))</f>
        <v>0</v>
      </c>
      <c r="BA88" t="str">
        <f>LEFT('Raw File'!P88,1)</f>
        <v/>
      </c>
      <c r="BJ88" t="str">
        <f>IF('Raw File'!C88&gt;0,"1"," ")</f>
        <v xml:space="preserve"> </v>
      </c>
      <c r="BX88" t="str">
        <f>IF('Raw File'!C88&gt;0,"WEEKLY"," ")</f>
        <v xml:space="preserve"> </v>
      </c>
      <c r="CA88" t="str">
        <f>IF('Raw File'!C88&gt;0, "N"," ")</f>
        <v xml:space="preserve"> </v>
      </c>
      <c r="CI88" t="str">
        <f>IF('Raw File'!C88&gt;0, "W", " ")</f>
        <v xml:space="preserve"> </v>
      </c>
      <c r="DN88" s="1" t="str">
        <f>IF('Raw File'!C88&gt;0,'Raw File'!A88," ")</f>
        <v xml:space="preserve"> </v>
      </c>
      <c r="GY88">
        <f>IF('Raw File'!O88=" "," ",IF('Raw File'!O88&gt;100,'Raw File'!O88,IF('Raw File'!O88="exempt","99999",IF('Raw File'!O88&lt;100, 'Raw File'!O88*2000, " "))))</f>
        <v>0</v>
      </c>
      <c r="HQ88" t="str">
        <f>IF('Raw File'!C88&gt;0,"1"," ")</f>
        <v xml:space="preserve"> </v>
      </c>
    </row>
    <row r="89" spans="1:225" x14ac:dyDescent="0.35">
      <c r="A89" t="str">
        <f>IF('Raw File'!E89&gt;0,'Raw File'!E89, " ")</f>
        <v xml:space="preserve"> </v>
      </c>
      <c r="B89" t="str">
        <f>IF('Raw File'!D89&gt;0,'Raw File'!D89," ")</f>
        <v xml:space="preserve"> </v>
      </c>
      <c r="C89" t="str">
        <f>IF('Raw File'!F89&gt;0,'Raw File'!F89, " ")</f>
        <v xml:space="preserve"> </v>
      </c>
      <c r="D89" s="1" t="str">
        <f>IF('Raw File'!R89&gt;0,'Raw File'!R89, " ")</f>
        <v xml:space="preserve"> </v>
      </c>
      <c r="E89" t="str">
        <f>IF('Raw File'!C89&gt;0, 296, " ")</f>
        <v xml:space="preserve"> </v>
      </c>
      <c r="F89" s="10" t="str">
        <f>IF('Raw File'!C89&gt;0, "5", " ")</f>
        <v xml:space="preserve"> </v>
      </c>
      <c r="G89" t="str">
        <f>IF('Raw File'!C89&gt;0, "X", " ")</f>
        <v xml:space="preserve"> </v>
      </c>
      <c r="H89" t="str">
        <f>IF('Raw File'!N89="H", "S", LEFT('Raw File'!N89, 1))</f>
        <v/>
      </c>
      <c r="J89" t="str">
        <f>IF('Raw File'!J89&gt;0,'Raw File'!J89," ")</f>
        <v xml:space="preserve"> </v>
      </c>
      <c r="L89" t="str">
        <f>IF('Raw File'!M89&gt;0,'Raw File'!M89," ")</f>
        <v xml:space="preserve"> </v>
      </c>
      <c r="M89" t="str">
        <f>IF('Raw File'!K89&gt;0,'Raw File'!K89," ")</f>
        <v xml:space="preserve"> </v>
      </c>
      <c r="N89" t="str">
        <f>IF('Raw File'!L89&gt;0,'Raw File'!L89," ")</f>
        <v xml:space="preserve"> </v>
      </c>
      <c r="U89" t="str">
        <f>IF('Raw File'!Q89&gt;0,'Raw File'!Q89," ")</f>
        <v xml:space="preserve"> </v>
      </c>
      <c r="Y89" t="str">
        <f>IF('Raw File'!C89&gt;0,'Raw File'!C89," ")</f>
        <v xml:space="preserve"> </v>
      </c>
      <c r="Z89" t="str">
        <f>IF('Raw File'!C89&gt;0, "A", " ")</f>
        <v xml:space="preserve"> </v>
      </c>
      <c r="AA89" t="str">
        <f>IF('Raw File'!C89&gt;0, "F", " ")</f>
        <v xml:space="preserve"> </v>
      </c>
      <c r="AB89" t="str">
        <f>IF('Raw File'!H89&gt;0,'Raw File'!H89," ")</f>
        <v xml:space="preserve"> </v>
      </c>
      <c r="AC89" s="11" t="str">
        <f>IF('Raw File'!C89&gt;0,IF(WhatColor('Raw File'!C89)&gt;10,8810,8018)," ")</f>
        <v xml:space="preserve"> </v>
      </c>
      <c r="AD89" s="1" t="str">
        <f>IF('Raw File'!C89&gt;0,'Raw File'!A89," ")</f>
        <v xml:space="preserve"> </v>
      </c>
      <c r="AE89" s="1" t="str">
        <f>IF('Raw File'!C89&gt;0,'Raw File'!A89," ")</f>
        <v xml:space="preserve"> </v>
      </c>
      <c r="AF89" s="1" t="str">
        <f>IF('Raw File'!C89&gt;0,'Raw File'!A89," ")</f>
        <v xml:space="preserve"> </v>
      </c>
      <c r="AG89" t="str">
        <f>IF('Raw File'!C89&gt;0,'Raw File'!C89, " ")</f>
        <v xml:space="preserve"> </v>
      </c>
      <c r="AQ89" t="str">
        <f>IF('Raw File'!G89&gt;0, IF('Raw File'!G89&lt;100, "H", "S"), " ")</f>
        <v xml:space="preserve"> </v>
      </c>
      <c r="AR89" t="str">
        <f>IF('Raw File'!G89&gt;0,'Raw File'!G89," ")</f>
        <v xml:space="preserve"> </v>
      </c>
      <c r="AT89" t="str">
        <f>IF('Raw File'!C89&gt;0,40," ")</f>
        <v xml:space="preserve"> </v>
      </c>
      <c r="AV89" t="str">
        <f>IF('Raw File'!N89= 0, " ", IF('Raw File'!N89="S", "SS", IF( 'Raw File'!N89= "M", "MJ", IF('Raw File'!N89= "H", "H"))))</f>
        <v xml:space="preserve"> </v>
      </c>
      <c r="AW89" s="12"/>
      <c r="AX89" t="str">
        <f>LEFT('Raw File'!P89,1)</f>
        <v/>
      </c>
      <c r="AY89" t="str">
        <f>LEFT('Raw File'!N89,1)</f>
        <v/>
      </c>
      <c r="AZ89">
        <f>IF('Raw File'!O89="exempt",99,IF('Raw File'!O89&gt;0,'Raw File'!O89/2000,IF('Raw File'!O89=0,'Raw File'!O89," ")))</f>
        <v>0</v>
      </c>
      <c r="BA89" t="str">
        <f>LEFT('Raw File'!P89,1)</f>
        <v/>
      </c>
      <c r="BJ89" t="str">
        <f>IF('Raw File'!C89&gt;0,"1"," ")</f>
        <v xml:space="preserve"> </v>
      </c>
      <c r="BX89" t="str">
        <f>IF('Raw File'!C89&gt;0,"WEEKLY"," ")</f>
        <v xml:space="preserve"> </v>
      </c>
      <c r="CA89" t="str">
        <f>IF('Raw File'!C89&gt;0, "N"," ")</f>
        <v xml:space="preserve"> </v>
      </c>
      <c r="CI89" t="str">
        <f>IF('Raw File'!C89&gt;0, "W", " ")</f>
        <v xml:space="preserve"> </v>
      </c>
      <c r="DN89" s="1" t="str">
        <f>IF('Raw File'!C89&gt;0,'Raw File'!A89," ")</f>
        <v xml:space="preserve"> </v>
      </c>
      <c r="GY89">
        <f>IF('Raw File'!O89=" "," ",IF('Raw File'!O89&gt;100,'Raw File'!O89,IF('Raw File'!O89="exempt","99999",IF('Raw File'!O89&lt;100, 'Raw File'!O89*2000, " "))))</f>
        <v>0</v>
      </c>
      <c r="HQ89" t="str">
        <f>IF('Raw File'!C89&gt;0,"1"," ")</f>
        <v xml:space="preserve"> </v>
      </c>
    </row>
    <row r="90" spans="1:225" x14ac:dyDescent="0.35">
      <c r="A90" t="str">
        <f>IF('Raw File'!E90&gt;0,'Raw File'!E90, " ")</f>
        <v xml:space="preserve"> </v>
      </c>
      <c r="B90" t="str">
        <f>IF('Raw File'!D90&gt;0,'Raw File'!D90," ")</f>
        <v xml:space="preserve"> </v>
      </c>
      <c r="C90" t="str">
        <f>IF('Raw File'!F90&gt;0,'Raw File'!F90, " ")</f>
        <v xml:space="preserve"> </v>
      </c>
      <c r="D90" s="1" t="str">
        <f>IF('Raw File'!R90&gt;0,'Raw File'!R90, " ")</f>
        <v xml:space="preserve"> </v>
      </c>
      <c r="E90" t="str">
        <f>IF('Raw File'!C90&gt;0, 296, " ")</f>
        <v xml:space="preserve"> </v>
      </c>
      <c r="F90" s="10" t="str">
        <f>IF('Raw File'!C90&gt;0, "5", " ")</f>
        <v xml:space="preserve"> </v>
      </c>
      <c r="G90" t="str">
        <f>IF('Raw File'!C90&gt;0, "X", " ")</f>
        <v xml:space="preserve"> </v>
      </c>
      <c r="H90" t="str">
        <f>IF('Raw File'!N90="H", "S", LEFT('Raw File'!N90, 1))</f>
        <v/>
      </c>
      <c r="J90" t="str">
        <f>IF('Raw File'!J90&gt;0,'Raw File'!J90," ")</f>
        <v xml:space="preserve"> </v>
      </c>
      <c r="L90" t="str">
        <f>IF('Raw File'!M90&gt;0,'Raw File'!M90," ")</f>
        <v xml:space="preserve"> </v>
      </c>
      <c r="M90" t="str">
        <f>IF('Raw File'!K90&gt;0,'Raw File'!K90," ")</f>
        <v xml:space="preserve"> </v>
      </c>
      <c r="N90" t="str">
        <f>IF('Raw File'!L90&gt;0,'Raw File'!L90," ")</f>
        <v xml:space="preserve"> </v>
      </c>
      <c r="U90" t="str">
        <f>IF('Raw File'!Q90&gt;0,'Raw File'!Q90," ")</f>
        <v xml:space="preserve"> </v>
      </c>
      <c r="Y90" t="str">
        <f>IF('Raw File'!C90&gt;0,'Raw File'!C90," ")</f>
        <v xml:space="preserve"> </v>
      </c>
      <c r="Z90" t="str">
        <f>IF('Raw File'!C90&gt;0, "A", " ")</f>
        <v xml:space="preserve"> </v>
      </c>
      <c r="AA90" t="str">
        <f>IF('Raw File'!C90&gt;0, "F", " ")</f>
        <v xml:space="preserve"> </v>
      </c>
      <c r="AB90" t="str">
        <f>IF('Raw File'!H90&gt;0,'Raw File'!H90," ")</f>
        <v xml:space="preserve"> </v>
      </c>
      <c r="AC90" s="11" t="str">
        <f>IF('Raw File'!C90&gt;0,IF(WhatColor('Raw File'!C90)&gt;10,8810,8018)," ")</f>
        <v xml:space="preserve"> </v>
      </c>
      <c r="AD90" s="1" t="str">
        <f>IF('Raw File'!C90&gt;0,'Raw File'!A90," ")</f>
        <v xml:space="preserve"> </v>
      </c>
      <c r="AE90" s="1" t="str">
        <f>IF('Raw File'!C90&gt;0,'Raw File'!A90," ")</f>
        <v xml:space="preserve"> </v>
      </c>
      <c r="AF90" s="1" t="str">
        <f>IF('Raw File'!C90&gt;0,'Raw File'!A90," ")</f>
        <v xml:space="preserve"> </v>
      </c>
      <c r="AG90" t="str">
        <f>IF('Raw File'!C90&gt;0,'Raw File'!C90, " ")</f>
        <v xml:space="preserve"> </v>
      </c>
      <c r="AQ90" t="str">
        <f>IF('Raw File'!G90&gt;0, IF('Raw File'!G90&lt;100, "H", "S"), " ")</f>
        <v xml:space="preserve"> </v>
      </c>
      <c r="AR90" t="str">
        <f>IF('Raw File'!G90&gt;0,'Raw File'!G90," ")</f>
        <v xml:space="preserve"> </v>
      </c>
      <c r="AT90" t="str">
        <f>IF('Raw File'!C90&gt;0,40," ")</f>
        <v xml:space="preserve"> </v>
      </c>
      <c r="AV90" t="str">
        <f>IF('Raw File'!N90= 0, " ", IF('Raw File'!N90="S", "SS", IF( 'Raw File'!N90= "M", "MJ", IF('Raw File'!N90= "H", "H"))))</f>
        <v xml:space="preserve"> </v>
      </c>
      <c r="AW90" s="12"/>
      <c r="AX90" t="str">
        <f>LEFT('Raw File'!P90,1)</f>
        <v/>
      </c>
      <c r="AY90" t="str">
        <f>LEFT('Raw File'!N90,1)</f>
        <v/>
      </c>
      <c r="AZ90">
        <f>IF('Raw File'!O90="exempt",99,IF('Raw File'!O90&gt;0,'Raw File'!O90/2000,IF('Raw File'!O90=0,'Raw File'!O90," ")))</f>
        <v>0</v>
      </c>
      <c r="BA90" t="str">
        <f>LEFT('Raw File'!P90,1)</f>
        <v/>
      </c>
      <c r="BJ90" t="str">
        <f>IF('Raw File'!C90&gt;0,"1"," ")</f>
        <v xml:space="preserve"> </v>
      </c>
      <c r="BX90" t="str">
        <f>IF('Raw File'!C90&gt;0,"WEEKLY"," ")</f>
        <v xml:space="preserve"> </v>
      </c>
      <c r="CA90" t="str">
        <f>IF('Raw File'!C90&gt;0, "N"," ")</f>
        <v xml:space="preserve"> </v>
      </c>
      <c r="CI90" t="str">
        <f>IF('Raw File'!C90&gt;0, "W", " ")</f>
        <v xml:space="preserve"> </v>
      </c>
      <c r="DN90" s="1" t="str">
        <f>IF('Raw File'!C90&gt;0,'Raw File'!A90," ")</f>
        <v xml:space="preserve"> </v>
      </c>
      <c r="GY90">
        <f>IF('Raw File'!O90=" "," ",IF('Raw File'!O90&gt;100,'Raw File'!O90,IF('Raw File'!O90="exempt","99999",IF('Raw File'!O90&lt;100, 'Raw File'!O90*2000, " "))))</f>
        <v>0</v>
      </c>
      <c r="HQ90" t="str">
        <f>IF('Raw File'!C90&gt;0,"1"," ")</f>
        <v xml:space="preserve"> </v>
      </c>
    </row>
    <row r="91" spans="1:225" x14ac:dyDescent="0.35">
      <c r="A91" t="str">
        <f>IF('Raw File'!E91&gt;0,'Raw File'!E91, " ")</f>
        <v xml:space="preserve"> </v>
      </c>
      <c r="B91" t="str">
        <f>IF('Raw File'!D91&gt;0,'Raw File'!D91," ")</f>
        <v xml:space="preserve"> </v>
      </c>
      <c r="C91" t="str">
        <f>IF('Raw File'!F91&gt;0,'Raw File'!F91, " ")</f>
        <v xml:space="preserve"> </v>
      </c>
      <c r="D91" s="1" t="str">
        <f>IF('Raw File'!R91&gt;0,'Raw File'!R91, " ")</f>
        <v xml:space="preserve"> </v>
      </c>
      <c r="E91" t="str">
        <f>IF('Raw File'!C91&gt;0, 296, " ")</f>
        <v xml:space="preserve"> </v>
      </c>
      <c r="F91" s="10" t="str">
        <f>IF('Raw File'!C91&gt;0, "5", " ")</f>
        <v xml:space="preserve"> </v>
      </c>
      <c r="G91" t="str">
        <f>IF('Raw File'!C91&gt;0, "X", " ")</f>
        <v xml:space="preserve"> </v>
      </c>
      <c r="H91" t="str">
        <f>IF('Raw File'!N91="H", "S", LEFT('Raw File'!N91, 1))</f>
        <v/>
      </c>
      <c r="J91" t="str">
        <f>IF('Raw File'!J91&gt;0,'Raw File'!J91," ")</f>
        <v xml:space="preserve"> </v>
      </c>
      <c r="L91" t="str">
        <f>IF('Raw File'!M91&gt;0,'Raw File'!M91," ")</f>
        <v xml:space="preserve"> </v>
      </c>
      <c r="M91" t="str">
        <f>IF('Raw File'!K91&gt;0,'Raw File'!K91," ")</f>
        <v xml:space="preserve"> </v>
      </c>
      <c r="N91" t="str">
        <f>IF('Raw File'!L91&gt;0,'Raw File'!L91," ")</f>
        <v xml:space="preserve"> </v>
      </c>
      <c r="U91" t="str">
        <f>IF('Raw File'!Q91&gt;0,'Raw File'!Q91," ")</f>
        <v xml:space="preserve"> </v>
      </c>
      <c r="Y91" t="str">
        <f>IF('Raw File'!C91&gt;0,'Raw File'!C91," ")</f>
        <v xml:space="preserve"> </v>
      </c>
      <c r="Z91" t="str">
        <f>IF('Raw File'!C91&gt;0, "A", " ")</f>
        <v xml:space="preserve"> </v>
      </c>
      <c r="AA91" t="str">
        <f>IF('Raw File'!C91&gt;0, "F", " ")</f>
        <v xml:space="preserve"> </v>
      </c>
      <c r="AB91" t="str">
        <f>IF('Raw File'!H91&gt;0,'Raw File'!H91," ")</f>
        <v xml:space="preserve"> </v>
      </c>
      <c r="AC91" s="11" t="str">
        <f>IF('Raw File'!C91&gt;0,IF(WhatColor('Raw File'!C91)&gt;10,8810,8018)," ")</f>
        <v xml:space="preserve"> </v>
      </c>
      <c r="AD91" s="1" t="str">
        <f>IF('Raw File'!C91&gt;0,'Raw File'!A91," ")</f>
        <v xml:space="preserve"> </v>
      </c>
      <c r="AE91" s="1" t="str">
        <f>IF('Raw File'!C91&gt;0,'Raw File'!A91," ")</f>
        <v xml:space="preserve"> </v>
      </c>
      <c r="AF91" s="1" t="str">
        <f>IF('Raw File'!C91&gt;0,'Raw File'!A91," ")</f>
        <v xml:space="preserve"> </v>
      </c>
      <c r="AG91" t="str">
        <f>IF('Raw File'!C91&gt;0,'Raw File'!C91, " ")</f>
        <v xml:space="preserve"> </v>
      </c>
      <c r="AQ91" t="str">
        <f>IF('Raw File'!G91&gt;0, IF('Raw File'!G91&lt;100, "H", "S"), " ")</f>
        <v xml:space="preserve"> </v>
      </c>
      <c r="AR91" t="str">
        <f>IF('Raw File'!G91&gt;0,'Raw File'!G91," ")</f>
        <v xml:space="preserve"> </v>
      </c>
      <c r="AT91" t="str">
        <f>IF('Raw File'!C91&gt;0,40," ")</f>
        <v xml:space="preserve"> </v>
      </c>
      <c r="AV91" t="str">
        <f>IF('Raw File'!N91= 0, " ", IF('Raw File'!N91="S", "SS", IF( 'Raw File'!N91= "M", "MJ", IF('Raw File'!N91= "H", "H"))))</f>
        <v xml:space="preserve"> </v>
      </c>
      <c r="AW91" s="12"/>
      <c r="AX91" t="str">
        <f>LEFT('Raw File'!P91,1)</f>
        <v/>
      </c>
      <c r="AY91" t="str">
        <f>LEFT('Raw File'!N91,1)</f>
        <v/>
      </c>
      <c r="AZ91">
        <f>IF('Raw File'!O91="exempt",99,IF('Raw File'!O91&gt;0,'Raw File'!O91/2000,IF('Raw File'!O91=0,'Raw File'!O91," ")))</f>
        <v>0</v>
      </c>
      <c r="BA91" t="str">
        <f>LEFT('Raw File'!P91,1)</f>
        <v/>
      </c>
      <c r="BJ91" t="str">
        <f>IF('Raw File'!C91&gt;0,"1"," ")</f>
        <v xml:space="preserve"> </v>
      </c>
      <c r="BX91" t="str">
        <f>IF('Raw File'!C91&gt;0,"WEEKLY"," ")</f>
        <v xml:space="preserve"> </v>
      </c>
      <c r="CA91" t="str">
        <f>IF('Raw File'!C91&gt;0, "N"," ")</f>
        <v xml:space="preserve"> </v>
      </c>
      <c r="CI91" t="str">
        <f>IF('Raw File'!C91&gt;0, "W", " ")</f>
        <v xml:space="preserve"> </v>
      </c>
      <c r="DN91" s="1" t="str">
        <f>IF('Raw File'!C91&gt;0,'Raw File'!A91," ")</f>
        <v xml:space="preserve"> </v>
      </c>
      <c r="GY91">
        <f>IF('Raw File'!O91=" "," ",IF('Raw File'!O91&gt;100,'Raw File'!O91,IF('Raw File'!O91="exempt","99999",IF('Raw File'!O91&lt;100, 'Raw File'!O91*2000, " "))))</f>
        <v>0</v>
      </c>
      <c r="HQ91" t="str">
        <f>IF('Raw File'!C91&gt;0,"1"," ")</f>
        <v xml:space="preserve"> </v>
      </c>
    </row>
    <row r="92" spans="1:225" x14ac:dyDescent="0.35">
      <c r="A92" t="str">
        <f>IF('Raw File'!E92&gt;0,'Raw File'!E92, " ")</f>
        <v xml:space="preserve"> </v>
      </c>
      <c r="B92" t="str">
        <f>IF('Raw File'!D92&gt;0,'Raw File'!D92," ")</f>
        <v xml:space="preserve"> </v>
      </c>
      <c r="C92" t="str">
        <f>IF('Raw File'!F92&gt;0,'Raw File'!F92, " ")</f>
        <v xml:space="preserve"> </v>
      </c>
      <c r="D92" s="1" t="str">
        <f>IF('Raw File'!R92&gt;0,'Raw File'!R92, " ")</f>
        <v xml:space="preserve"> </v>
      </c>
      <c r="E92" t="str">
        <f>IF('Raw File'!C92&gt;0, 296, " ")</f>
        <v xml:space="preserve"> </v>
      </c>
      <c r="F92" s="10" t="str">
        <f>IF('Raw File'!C92&gt;0, "5", " ")</f>
        <v xml:space="preserve"> </v>
      </c>
      <c r="G92" t="str">
        <f>IF('Raw File'!C92&gt;0, "X", " ")</f>
        <v xml:space="preserve"> </v>
      </c>
      <c r="H92" t="str">
        <f>IF('Raw File'!N92="H", "S", LEFT('Raw File'!N92, 1))</f>
        <v/>
      </c>
      <c r="J92" t="str">
        <f>IF('Raw File'!J92&gt;0,'Raw File'!J92," ")</f>
        <v xml:space="preserve"> </v>
      </c>
      <c r="L92" t="str">
        <f>IF('Raw File'!M92&gt;0,'Raw File'!M92," ")</f>
        <v xml:space="preserve"> </v>
      </c>
      <c r="M92" t="str">
        <f>IF('Raw File'!K92&gt;0,'Raw File'!K92," ")</f>
        <v xml:space="preserve"> </v>
      </c>
      <c r="N92" t="str">
        <f>IF('Raw File'!L92&gt;0,'Raw File'!L92," ")</f>
        <v xml:space="preserve"> </v>
      </c>
      <c r="U92" t="str">
        <f>IF('Raw File'!Q92&gt;0,'Raw File'!Q92," ")</f>
        <v xml:space="preserve"> </v>
      </c>
      <c r="Y92" t="str">
        <f>IF('Raw File'!C92&gt;0,'Raw File'!C92," ")</f>
        <v xml:space="preserve"> </v>
      </c>
      <c r="Z92" t="str">
        <f>IF('Raw File'!C92&gt;0, "A", " ")</f>
        <v xml:space="preserve"> </v>
      </c>
      <c r="AA92" t="str">
        <f>IF('Raw File'!C92&gt;0, "F", " ")</f>
        <v xml:space="preserve"> </v>
      </c>
      <c r="AB92" t="str">
        <f>IF('Raw File'!H92&gt;0,'Raw File'!H92," ")</f>
        <v xml:space="preserve"> </v>
      </c>
      <c r="AC92" s="11" t="str">
        <f>IF('Raw File'!C92&gt;0,IF(WhatColor('Raw File'!C92)&gt;10,8810,8018)," ")</f>
        <v xml:space="preserve"> </v>
      </c>
      <c r="AD92" s="1" t="str">
        <f>IF('Raw File'!C92&gt;0,'Raw File'!A92," ")</f>
        <v xml:space="preserve"> </v>
      </c>
      <c r="AE92" s="1" t="str">
        <f>IF('Raw File'!C92&gt;0,'Raw File'!A92," ")</f>
        <v xml:space="preserve"> </v>
      </c>
      <c r="AF92" s="1" t="str">
        <f>IF('Raw File'!C92&gt;0,'Raw File'!A92," ")</f>
        <v xml:space="preserve"> </v>
      </c>
      <c r="AG92" t="str">
        <f>IF('Raw File'!C92&gt;0,'Raw File'!C92, " ")</f>
        <v xml:space="preserve"> </v>
      </c>
      <c r="AQ92" t="str">
        <f>IF('Raw File'!G92&gt;0, IF('Raw File'!G92&lt;100, "H", "S"), " ")</f>
        <v xml:space="preserve"> </v>
      </c>
      <c r="AR92" t="str">
        <f>IF('Raw File'!G92&gt;0,'Raw File'!G92," ")</f>
        <v xml:space="preserve"> </v>
      </c>
      <c r="AT92" t="str">
        <f>IF('Raw File'!C92&gt;0,40," ")</f>
        <v xml:space="preserve"> </v>
      </c>
      <c r="AV92" t="str">
        <f>IF('Raw File'!N92= 0, " ", IF('Raw File'!N92="S", "SS", IF( 'Raw File'!N92= "M", "MJ", IF('Raw File'!N92= "H", "H"))))</f>
        <v xml:space="preserve"> </v>
      </c>
      <c r="AW92" s="12"/>
      <c r="AX92" t="str">
        <f>LEFT('Raw File'!P92,1)</f>
        <v/>
      </c>
      <c r="AY92" t="str">
        <f>LEFT('Raw File'!N92,1)</f>
        <v/>
      </c>
      <c r="AZ92">
        <f>IF('Raw File'!O92="exempt",99,IF('Raw File'!O92&gt;0,'Raw File'!O92/2000,IF('Raw File'!O92=0,'Raw File'!O92," ")))</f>
        <v>0</v>
      </c>
      <c r="BA92" t="str">
        <f>LEFT('Raw File'!P92,1)</f>
        <v/>
      </c>
      <c r="BJ92" t="str">
        <f>IF('Raw File'!C92&gt;0,"1"," ")</f>
        <v xml:space="preserve"> </v>
      </c>
      <c r="BX92" t="str">
        <f>IF('Raw File'!C92&gt;0,"WEEKLY"," ")</f>
        <v xml:space="preserve"> </v>
      </c>
      <c r="CA92" t="str">
        <f>IF('Raw File'!C92&gt;0, "N"," ")</f>
        <v xml:space="preserve"> </v>
      </c>
      <c r="CI92" t="str">
        <f>IF('Raw File'!C92&gt;0, "W", " ")</f>
        <v xml:space="preserve"> </v>
      </c>
      <c r="DN92" s="1" t="str">
        <f>IF('Raw File'!C92&gt;0,'Raw File'!A92," ")</f>
        <v xml:space="preserve"> </v>
      </c>
      <c r="GY92">
        <f>IF('Raw File'!O92=" "," ",IF('Raw File'!O92&gt;100,'Raw File'!O92,IF('Raw File'!O92="exempt","99999",IF('Raw File'!O92&lt;100, 'Raw File'!O92*2000, " "))))</f>
        <v>0</v>
      </c>
      <c r="HQ92" t="str">
        <f>IF('Raw File'!C92&gt;0,"1"," ")</f>
        <v xml:space="preserve"> </v>
      </c>
    </row>
    <row r="93" spans="1:225" x14ac:dyDescent="0.35">
      <c r="A93" t="str">
        <f>IF('Raw File'!E93&gt;0,'Raw File'!E93, " ")</f>
        <v xml:space="preserve"> </v>
      </c>
      <c r="B93" t="str">
        <f>IF('Raw File'!D93&gt;0,'Raw File'!D93," ")</f>
        <v xml:space="preserve"> </v>
      </c>
      <c r="C93" t="str">
        <f>IF('Raw File'!F93&gt;0,'Raw File'!F93, " ")</f>
        <v xml:space="preserve"> </v>
      </c>
      <c r="D93" s="1" t="str">
        <f>IF('Raw File'!R93&gt;0,'Raw File'!R93, " ")</f>
        <v xml:space="preserve"> </v>
      </c>
      <c r="E93" t="str">
        <f>IF('Raw File'!C93&gt;0, 296, " ")</f>
        <v xml:space="preserve"> </v>
      </c>
      <c r="F93" s="10" t="str">
        <f>IF('Raw File'!C93&gt;0, "5", " ")</f>
        <v xml:space="preserve"> </v>
      </c>
      <c r="G93" t="str">
        <f>IF('Raw File'!C93&gt;0, "X", " ")</f>
        <v xml:space="preserve"> </v>
      </c>
      <c r="H93" t="str">
        <f>IF('Raw File'!N93="H", "S", LEFT('Raw File'!N93, 1))</f>
        <v/>
      </c>
      <c r="J93" t="str">
        <f>IF('Raw File'!J93&gt;0,'Raw File'!J93," ")</f>
        <v xml:space="preserve"> </v>
      </c>
      <c r="L93" t="str">
        <f>IF('Raw File'!M93&gt;0,'Raw File'!M93," ")</f>
        <v xml:space="preserve"> </v>
      </c>
      <c r="M93" t="str">
        <f>IF('Raw File'!K93&gt;0,'Raw File'!K93," ")</f>
        <v xml:space="preserve"> </v>
      </c>
      <c r="N93" t="str">
        <f>IF('Raw File'!L93&gt;0,'Raw File'!L93," ")</f>
        <v xml:space="preserve"> </v>
      </c>
      <c r="U93" t="str">
        <f>IF('Raw File'!Q93&gt;0,'Raw File'!Q93," ")</f>
        <v xml:space="preserve"> </v>
      </c>
      <c r="Y93" t="str">
        <f>IF('Raw File'!C93&gt;0,'Raw File'!C93," ")</f>
        <v xml:space="preserve"> </v>
      </c>
      <c r="Z93" t="str">
        <f>IF('Raw File'!C93&gt;0, "A", " ")</f>
        <v xml:space="preserve"> </v>
      </c>
      <c r="AA93" t="str">
        <f>IF('Raw File'!C93&gt;0, "F", " ")</f>
        <v xml:space="preserve"> </v>
      </c>
      <c r="AB93" t="str">
        <f>IF('Raw File'!H93&gt;0,'Raw File'!H93," ")</f>
        <v xml:space="preserve"> </v>
      </c>
      <c r="AC93" s="11" t="str">
        <f>IF('Raw File'!C93&gt;0,IF(WhatColor('Raw File'!C93)&gt;10,8810,8018)," ")</f>
        <v xml:space="preserve"> </v>
      </c>
      <c r="AD93" s="1" t="str">
        <f>IF('Raw File'!C93&gt;0,'Raw File'!A93," ")</f>
        <v xml:space="preserve"> </v>
      </c>
      <c r="AE93" s="1" t="str">
        <f>IF('Raw File'!C93&gt;0,'Raw File'!A93," ")</f>
        <v xml:space="preserve"> </v>
      </c>
      <c r="AF93" s="1" t="str">
        <f>IF('Raw File'!C93&gt;0,'Raw File'!A93," ")</f>
        <v xml:space="preserve"> </v>
      </c>
      <c r="AG93" t="str">
        <f>IF('Raw File'!C93&gt;0,'Raw File'!C93, " ")</f>
        <v xml:space="preserve"> </v>
      </c>
      <c r="AQ93" t="str">
        <f>IF('Raw File'!G93&gt;0, IF('Raw File'!G93&lt;100, "H", "S"), " ")</f>
        <v xml:space="preserve"> </v>
      </c>
      <c r="AR93" t="str">
        <f>IF('Raw File'!G93&gt;0,'Raw File'!G93," ")</f>
        <v xml:space="preserve"> </v>
      </c>
      <c r="AT93" t="str">
        <f>IF('Raw File'!C93&gt;0,40," ")</f>
        <v xml:space="preserve"> </v>
      </c>
      <c r="AV93" t="str">
        <f>IF('Raw File'!N93= 0, " ", IF('Raw File'!N93="S", "SS", IF( 'Raw File'!N93= "M", "MJ", IF('Raw File'!N93= "H", "H"))))</f>
        <v xml:space="preserve"> </v>
      </c>
      <c r="AW93" s="12"/>
      <c r="AX93" t="str">
        <f>LEFT('Raw File'!P93,1)</f>
        <v/>
      </c>
      <c r="AY93" t="str">
        <f>LEFT('Raw File'!N93,1)</f>
        <v/>
      </c>
      <c r="AZ93">
        <f>IF('Raw File'!O93="exempt",99,IF('Raw File'!O93&gt;0,'Raw File'!O93/2000,IF('Raw File'!O93=0,'Raw File'!O93," ")))</f>
        <v>0</v>
      </c>
      <c r="BA93" t="str">
        <f>LEFT('Raw File'!P93,1)</f>
        <v/>
      </c>
      <c r="BJ93" t="str">
        <f>IF('Raw File'!C93&gt;0,"1"," ")</f>
        <v xml:space="preserve"> </v>
      </c>
      <c r="BX93" t="str">
        <f>IF('Raw File'!C93&gt;0,"WEEKLY"," ")</f>
        <v xml:space="preserve"> </v>
      </c>
      <c r="CA93" t="str">
        <f>IF('Raw File'!C93&gt;0, "N"," ")</f>
        <v xml:space="preserve"> </v>
      </c>
      <c r="CI93" t="str">
        <f>IF('Raw File'!C93&gt;0, "W", " ")</f>
        <v xml:space="preserve"> </v>
      </c>
      <c r="DN93" s="1" t="str">
        <f>IF('Raw File'!C93&gt;0,'Raw File'!A93," ")</f>
        <v xml:space="preserve"> </v>
      </c>
      <c r="GY93">
        <f>IF('Raw File'!O93=" "," ",IF('Raw File'!O93&gt;100,'Raw File'!O93,IF('Raw File'!O93="exempt","99999",IF('Raw File'!O93&lt;100, 'Raw File'!O93*2000, " "))))</f>
        <v>0</v>
      </c>
      <c r="HQ93" t="str">
        <f>IF('Raw File'!C93&gt;0,"1"," ")</f>
        <v xml:space="preserve"> </v>
      </c>
    </row>
    <row r="94" spans="1:225" x14ac:dyDescent="0.35">
      <c r="A94" t="str">
        <f>IF('Raw File'!E94&gt;0,'Raw File'!E94, " ")</f>
        <v xml:space="preserve"> </v>
      </c>
      <c r="B94" t="str">
        <f>IF('Raw File'!D94&gt;0,'Raw File'!D94," ")</f>
        <v xml:space="preserve"> </v>
      </c>
      <c r="C94" t="str">
        <f>IF('Raw File'!F94&gt;0,'Raw File'!F94, " ")</f>
        <v xml:space="preserve"> </v>
      </c>
      <c r="D94" s="1" t="str">
        <f>IF('Raw File'!R94&gt;0,'Raw File'!R94, " ")</f>
        <v xml:space="preserve"> </v>
      </c>
      <c r="E94" t="str">
        <f>IF('Raw File'!C94&gt;0, 296, " ")</f>
        <v xml:space="preserve"> </v>
      </c>
      <c r="F94" s="10" t="str">
        <f>IF('Raw File'!C94&gt;0, "5", " ")</f>
        <v xml:space="preserve"> </v>
      </c>
      <c r="G94" t="str">
        <f>IF('Raw File'!C94&gt;0, "X", " ")</f>
        <v xml:space="preserve"> </v>
      </c>
      <c r="H94" t="str">
        <f>IF('Raw File'!N94="H", "S", LEFT('Raw File'!N94, 1))</f>
        <v/>
      </c>
      <c r="J94" t="str">
        <f>IF('Raw File'!J94&gt;0,'Raw File'!J94," ")</f>
        <v xml:space="preserve"> </v>
      </c>
      <c r="L94" t="str">
        <f>IF('Raw File'!M94&gt;0,'Raw File'!M94," ")</f>
        <v xml:space="preserve"> </v>
      </c>
      <c r="M94" t="str">
        <f>IF('Raw File'!K94&gt;0,'Raw File'!K94," ")</f>
        <v xml:space="preserve"> </v>
      </c>
      <c r="N94" t="str">
        <f>IF('Raw File'!L94&gt;0,'Raw File'!L94," ")</f>
        <v xml:space="preserve"> </v>
      </c>
      <c r="U94" t="str">
        <f>IF('Raw File'!Q94&gt;0,'Raw File'!Q94," ")</f>
        <v xml:space="preserve"> </v>
      </c>
      <c r="Y94" t="str">
        <f>IF('Raw File'!C94&gt;0,'Raw File'!C94," ")</f>
        <v xml:space="preserve"> </v>
      </c>
      <c r="Z94" t="str">
        <f>IF('Raw File'!C94&gt;0, "A", " ")</f>
        <v xml:space="preserve"> </v>
      </c>
      <c r="AA94" t="str">
        <f>IF('Raw File'!C94&gt;0, "F", " ")</f>
        <v xml:space="preserve"> </v>
      </c>
      <c r="AB94" t="str">
        <f>IF('Raw File'!H94&gt;0,'Raw File'!H94," ")</f>
        <v xml:space="preserve"> </v>
      </c>
      <c r="AC94" s="11" t="str">
        <f>IF('Raw File'!C94&gt;0,IF(WhatColor('Raw File'!C94)&gt;10,8810,8018)," ")</f>
        <v xml:space="preserve"> </v>
      </c>
      <c r="AD94" s="1" t="str">
        <f>IF('Raw File'!C94&gt;0,'Raw File'!A94," ")</f>
        <v xml:space="preserve"> </v>
      </c>
      <c r="AE94" s="1" t="str">
        <f>IF('Raw File'!C94&gt;0,'Raw File'!A94," ")</f>
        <v xml:space="preserve"> </v>
      </c>
      <c r="AF94" s="1" t="str">
        <f>IF('Raw File'!C94&gt;0,'Raw File'!A94," ")</f>
        <v xml:space="preserve"> </v>
      </c>
      <c r="AG94" t="str">
        <f>IF('Raw File'!C94&gt;0,'Raw File'!C94, " ")</f>
        <v xml:space="preserve"> </v>
      </c>
      <c r="AQ94" t="str">
        <f>IF('Raw File'!G94&gt;0, IF('Raw File'!G94&lt;100, "H", "S"), " ")</f>
        <v xml:space="preserve"> </v>
      </c>
      <c r="AR94" t="str">
        <f>IF('Raw File'!G94&gt;0,'Raw File'!G94," ")</f>
        <v xml:space="preserve"> </v>
      </c>
      <c r="AT94" t="str">
        <f>IF('Raw File'!C94&gt;0,40," ")</f>
        <v xml:space="preserve"> </v>
      </c>
      <c r="AV94" t="str">
        <f>IF('Raw File'!N94= 0, " ", IF('Raw File'!N94="S", "SS", IF( 'Raw File'!N94= "M", "MJ", IF('Raw File'!N94= "H", "H"))))</f>
        <v xml:space="preserve"> </v>
      </c>
      <c r="AW94" s="12"/>
      <c r="AX94" t="str">
        <f>LEFT('Raw File'!P94,1)</f>
        <v/>
      </c>
      <c r="AY94" t="str">
        <f>LEFT('Raw File'!N94,1)</f>
        <v/>
      </c>
      <c r="AZ94">
        <f>IF('Raw File'!O94="exempt",99,IF('Raw File'!O94&gt;0,'Raw File'!O94/2000,IF('Raw File'!O94=0,'Raw File'!O94," ")))</f>
        <v>0</v>
      </c>
      <c r="BA94" t="str">
        <f>LEFT('Raw File'!P94,1)</f>
        <v/>
      </c>
      <c r="BJ94" t="str">
        <f>IF('Raw File'!C94&gt;0,"1"," ")</f>
        <v xml:space="preserve"> </v>
      </c>
      <c r="BX94" t="str">
        <f>IF('Raw File'!C94&gt;0,"WEEKLY"," ")</f>
        <v xml:space="preserve"> </v>
      </c>
      <c r="CA94" t="str">
        <f>IF('Raw File'!C94&gt;0, "N"," ")</f>
        <v xml:space="preserve"> </v>
      </c>
      <c r="CI94" t="str">
        <f>IF('Raw File'!C94&gt;0, "W", " ")</f>
        <v xml:space="preserve"> </v>
      </c>
      <c r="DN94" s="1" t="str">
        <f>IF('Raw File'!C94&gt;0,'Raw File'!A94," ")</f>
        <v xml:space="preserve"> </v>
      </c>
      <c r="GY94">
        <f>IF('Raw File'!O94=" "," ",IF('Raw File'!O94&gt;100,'Raw File'!O94,IF('Raw File'!O94="exempt","99999",IF('Raw File'!O94&lt;100, 'Raw File'!O94*2000, " "))))</f>
        <v>0</v>
      </c>
      <c r="HQ94" t="str">
        <f>IF('Raw File'!C94&gt;0,"1"," ")</f>
        <v xml:space="preserve"> </v>
      </c>
    </row>
    <row r="95" spans="1:225" x14ac:dyDescent="0.35">
      <c r="A95" t="str">
        <f>IF('Raw File'!E95&gt;0,'Raw File'!E95, " ")</f>
        <v xml:space="preserve"> </v>
      </c>
      <c r="B95" t="str">
        <f>IF('Raw File'!D95&gt;0,'Raw File'!D95," ")</f>
        <v xml:space="preserve"> </v>
      </c>
      <c r="C95" t="str">
        <f>IF('Raw File'!F95&gt;0,'Raw File'!F95, " ")</f>
        <v xml:space="preserve"> </v>
      </c>
      <c r="D95" s="1" t="str">
        <f>IF('Raw File'!R95&gt;0,'Raw File'!R95, " ")</f>
        <v xml:space="preserve"> </v>
      </c>
      <c r="E95" t="str">
        <f>IF('Raw File'!C95&gt;0, 296, " ")</f>
        <v xml:space="preserve"> </v>
      </c>
      <c r="F95" s="10" t="str">
        <f>IF('Raw File'!C95&gt;0, "5", " ")</f>
        <v xml:space="preserve"> </v>
      </c>
      <c r="G95" t="str">
        <f>IF('Raw File'!C95&gt;0, "X", " ")</f>
        <v xml:space="preserve"> </v>
      </c>
      <c r="H95" t="str">
        <f>IF('Raw File'!N95="H", "S", LEFT('Raw File'!N95, 1))</f>
        <v/>
      </c>
      <c r="J95" t="str">
        <f>IF('Raw File'!J95&gt;0,'Raw File'!J95," ")</f>
        <v xml:space="preserve"> </v>
      </c>
      <c r="L95" t="str">
        <f>IF('Raw File'!M95&gt;0,'Raw File'!M95," ")</f>
        <v xml:space="preserve"> </v>
      </c>
      <c r="M95" t="str">
        <f>IF('Raw File'!K95&gt;0,'Raw File'!K95," ")</f>
        <v xml:space="preserve"> </v>
      </c>
      <c r="N95" t="str">
        <f>IF('Raw File'!L95&gt;0,'Raw File'!L95," ")</f>
        <v xml:space="preserve"> </v>
      </c>
      <c r="U95" t="str">
        <f>IF('Raw File'!Q95&gt;0,'Raw File'!Q95," ")</f>
        <v xml:space="preserve"> </v>
      </c>
      <c r="Y95" t="str">
        <f>IF('Raw File'!C95&gt;0,'Raw File'!C95," ")</f>
        <v xml:space="preserve"> </v>
      </c>
      <c r="Z95" t="str">
        <f>IF('Raw File'!C95&gt;0, "A", " ")</f>
        <v xml:space="preserve"> </v>
      </c>
      <c r="AA95" t="str">
        <f>IF('Raw File'!C95&gt;0, "F", " ")</f>
        <v xml:space="preserve"> </v>
      </c>
      <c r="AB95" t="str">
        <f>IF('Raw File'!H95&gt;0,'Raw File'!H95," ")</f>
        <v xml:space="preserve"> </v>
      </c>
      <c r="AC95" s="11" t="str">
        <f>IF('Raw File'!C95&gt;0,IF(WhatColor('Raw File'!C95)&gt;10,8810,8018)," ")</f>
        <v xml:space="preserve"> </v>
      </c>
      <c r="AD95" s="1" t="str">
        <f>IF('Raw File'!C95&gt;0,'Raw File'!A95," ")</f>
        <v xml:space="preserve"> </v>
      </c>
      <c r="AE95" s="1" t="str">
        <f>IF('Raw File'!C95&gt;0,'Raw File'!A95," ")</f>
        <v xml:space="preserve"> </v>
      </c>
      <c r="AF95" s="1" t="str">
        <f>IF('Raw File'!C95&gt;0,'Raw File'!A95," ")</f>
        <v xml:space="preserve"> </v>
      </c>
      <c r="AG95" t="str">
        <f>IF('Raw File'!C95&gt;0,'Raw File'!C95, " ")</f>
        <v xml:space="preserve"> </v>
      </c>
      <c r="AQ95" t="str">
        <f>IF('Raw File'!G95&gt;0, IF('Raw File'!G95&lt;100, "H", "S"), " ")</f>
        <v xml:space="preserve"> </v>
      </c>
      <c r="AR95" t="str">
        <f>IF('Raw File'!G95&gt;0,'Raw File'!G95," ")</f>
        <v xml:space="preserve"> </v>
      </c>
      <c r="AT95" t="str">
        <f>IF('Raw File'!C95&gt;0,40," ")</f>
        <v xml:space="preserve"> </v>
      </c>
      <c r="AV95" t="str">
        <f>IF('Raw File'!N95= 0, " ", IF('Raw File'!N95="S", "SS", IF( 'Raw File'!N95= "M", "MJ", IF('Raw File'!N95= "H", "H"))))</f>
        <v xml:space="preserve"> </v>
      </c>
      <c r="AW95" s="12"/>
      <c r="AX95" t="str">
        <f>LEFT('Raw File'!P95,1)</f>
        <v/>
      </c>
      <c r="AY95" t="str">
        <f>LEFT('Raw File'!N95,1)</f>
        <v/>
      </c>
      <c r="AZ95">
        <f>IF('Raw File'!O95="exempt",99,IF('Raw File'!O95&gt;0,'Raw File'!O95/2000,IF('Raw File'!O95=0,'Raw File'!O95," ")))</f>
        <v>0</v>
      </c>
      <c r="BA95" t="str">
        <f>LEFT('Raw File'!P95,1)</f>
        <v/>
      </c>
      <c r="BJ95" t="str">
        <f>IF('Raw File'!C95&gt;0,"1"," ")</f>
        <v xml:space="preserve"> </v>
      </c>
      <c r="BX95" t="str">
        <f>IF('Raw File'!C95&gt;0,"WEEKLY"," ")</f>
        <v xml:space="preserve"> </v>
      </c>
      <c r="CA95" t="str">
        <f>IF('Raw File'!C95&gt;0, "N"," ")</f>
        <v xml:space="preserve"> </v>
      </c>
      <c r="CI95" t="str">
        <f>IF('Raw File'!C95&gt;0, "W", " ")</f>
        <v xml:space="preserve"> </v>
      </c>
      <c r="DN95" s="1" t="str">
        <f>IF('Raw File'!C95&gt;0,'Raw File'!A95," ")</f>
        <v xml:space="preserve"> </v>
      </c>
      <c r="GY95">
        <f>IF('Raw File'!O95=" "," ",IF('Raw File'!O95&gt;100,'Raw File'!O95,IF('Raw File'!O95="exempt","99999",IF('Raw File'!O95&lt;100, 'Raw File'!O95*2000, " "))))</f>
        <v>0</v>
      </c>
      <c r="HQ95" t="str">
        <f>IF('Raw File'!C95&gt;0,"1"," ")</f>
        <v xml:space="preserve"> </v>
      </c>
    </row>
    <row r="96" spans="1:225" x14ac:dyDescent="0.35">
      <c r="A96" t="str">
        <f>IF('Raw File'!E96&gt;0,'Raw File'!E96, " ")</f>
        <v xml:space="preserve"> </v>
      </c>
      <c r="B96" t="str">
        <f>IF('Raw File'!D96&gt;0,'Raw File'!D96," ")</f>
        <v xml:space="preserve"> </v>
      </c>
      <c r="C96" t="str">
        <f>IF('Raw File'!F96&gt;0,'Raw File'!F96, " ")</f>
        <v xml:space="preserve"> </v>
      </c>
      <c r="D96" s="1" t="str">
        <f>IF('Raw File'!R96&gt;0,'Raw File'!R96, " ")</f>
        <v xml:space="preserve"> </v>
      </c>
      <c r="E96" t="str">
        <f>IF('Raw File'!C96&gt;0, 296, " ")</f>
        <v xml:space="preserve"> </v>
      </c>
      <c r="F96" s="10" t="str">
        <f>IF('Raw File'!C96&gt;0, "5", " ")</f>
        <v xml:space="preserve"> </v>
      </c>
      <c r="G96" t="str">
        <f>IF('Raw File'!C96&gt;0, "X", " ")</f>
        <v xml:space="preserve"> </v>
      </c>
      <c r="H96" t="str">
        <f>IF('Raw File'!N96="H", "S", LEFT('Raw File'!N96, 1))</f>
        <v/>
      </c>
      <c r="J96" t="str">
        <f>IF('Raw File'!J96&gt;0,'Raw File'!J96," ")</f>
        <v xml:space="preserve"> </v>
      </c>
      <c r="L96" t="str">
        <f>IF('Raw File'!M96&gt;0,'Raw File'!M96," ")</f>
        <v xml:space="preserve"> </v>
      </c>
      <c r="M96" t="str">
        <f>IF('Raw File'!K96&gt;0,'Raw File'!K96," ")</f>
        <v xml:space="preserve"> </v>
      </c>
      <c r="N96" t="str">
        <f>IF('Raw File'!L96&gt;0,'Raw File'!L96," ")</f>
        <v xml:space="preserve"> </v>
      </c>
      <c r="U96" t="str">
        <f>IF('Raw File'!Q96&gt;0,'Raw File'!Q96," ")</f>
        <v xml:space="preserve"> </v>
      </c>
      <c r="Y96" t="str">
        <f>IF('Raw File'!C96&gt;0,'Raw File'!C96," ")</f>
        <v xml:space="preserve"> </v>
      </c>
      <c r="Z96" t="str">
        <f>IF('Raw File'!C96&gt;0, "A", " ")</f>
        <v xml:space="preserve"> </v>
      </c>
      <c r="AA96" t="str">
        <f>IF('Raw File'!C96&gt;0, "F", " ")</f>
        <v xml:space="preserve"> </v>
      </c>
      <c r="AB96" t="str">
        <f>IF('Raw File'!H96&gt;0,'Raw File'!H96," ")</f>
        <v xml:space="preserve"> </v>
      </c>
      <c r="AC96" s="11" t="str">
        <f>IF('Raw File'!C96&gt;0,IF(WhatColor('Raw File'!C96)&gt;10,8810,8018)," ")</f>
        <v xml:space="preserve"> </v>
      </c>
      <c r="AD96" s="1" t="str">
        <f>IF('Raw File'!C96&gt;0,'Raw File'!A96," ")</f>
        <v xml:space="preserve"> </v>
      </c>
      <c r="AE96" s="1" t="str">
        <f>IF('Raw File'!C96&gt;0,'Raw File'!A96," ")</f>
        <v xml:space="preserve"> </v>
      </c>
      <c r="AF96" s="1" t="str">
        <f>IF('Raw File'!C96&gt;0,'Raw File'!A96," ")</f>
        <v xml:space="preserve"> </v>
      </c>
      <c r="AG96" t="str">
        <f>IF('Raw File'!C96&gt;0,'Raw File'!C96, " ")</f>
        <v xml:space="preserve"> </v>
      </c>
      <c r="AQ96" t="str">
        <f>IF('Raw File'!G96&gt;0, IF('Raw File'!G96&lt;100, "H", "S"), " ")</f>
        <v xml:space="preserve"> </v>
      </c>
      <c r="AR96" t="str">
        <f>IF('Raw File'!G96&gt;0,'Raw File'!G96," ")</f>
        <v xml:space="preserve"> </v>
      </c>
      <c r="AT96" t="str">
        <f>IF('Raw File'!C96&gt;0,40," ")</f>
        <v xml:space="preserve"> </v>
      </c>
      <c r="AV96" t="str">
        <f>IF('Raw File'!N96= 0, " ", IF('Raw File'!N96="S", "SS", IF( 'Raw File'!N96= "M", "MJ", IF('Raw File'!N96= "H", "H"))))</f>
        <v xml:space="preserve"> </v>
      </c>
      <c r="AW96" s="12"/>
      <c r="AX96" t="str">
        <f>LEFT('Raw File'!P96,1)</f>
        <v/>
      </c>
      <c r="AY96" t="str">
        <f>LEFT('Raw File'!N96,1)</f>
        <v/>
      </c>
      <c r="AZ96">
        <f>IF('Raw File'!O96="exempt",99,IF('Raw File'!O96&gt;0,'Raw File'!O96/2000,IF('Raw File'!O96=0,'Raw File'!O96," ")))</f>
        <v>0</v>
      </c>
      <c r="BA96" t="str">
        <f>LEFT('Raw File'!P96,1)</f>
        <v/>
      </c>
      <c r="BJ96" t="str">
        <f>IF('Raw File'!C96&gt;0,"1"," ")</f>
        <v xml:space="preserve"> </v>
      </c>
      <c r="BX96" t="str">
        <f>IF('Raw File'!C96&gt;0,"WEEKLY"," ")</f>
        <v xml:space="preserve"> </v>
      </c>
      <c r="CA96" t="str">
        <f>IF('Raw File'!C96&gt;0, "N"," ")</f>
        <v xml:space="preserve"> </v>
      </c>
      <c r="CI96" t="str">
        <f>IF('Raw File'!C96&gt;0, "W", " ")</f>
        <v xml:space="preserve"> </v>
      </c>
      <c r="DN96" s="1" t="str">
        <f>IF('Raw File'!C96&gt;0,'Raw File'!A96," ")</f>
        <v xml:space="preserve"> </v>
      </c>
      <c r="GY96">
        <f>IF('Raw File'!O96=" "," ",IF('Raw File'!O96&gt;100,'Raw File'!O96,IF('Raw File'!O96="exempt","99999",IF('Raw File'!O96&lt;100, 'Raw File'!O96*2000, " "))))</f>
        <v>0</v>
      </c>
      <c r="HQ96" t="str">
        <f>IF('Raw File'!C96&gt;0,"1"," ")</f>
        <v xml:space="preserve"> </v>
      </c>
    </row>
    <row r="97" spans="1:225" x14ac:dyDescent="0.35">
      <c r="A97" t="str">
        <f>IF('Raw File'!E97&gt;0,'Raw File'!E97, " ")</f>
        <v xml:space="preserve"> </v>
      </c>
      <c r="B97" t="str">
        <f>IF('Raw File'!D97&gt;0,'Raw File'!D97," ")</f>
        <v xml:space="preserve"> </v>
      </c>
      <c r="C97" t="str">
        <f>IF('Raw File'!F97&gt;0,'Raw File'!F97, " ")</f>
        <v xml:space="preserve"> </v>
      </c>
      <c r="D97" s="1" t="str">
        <f>IF('Raw File'!R97&gt;0,'Raw File'!R97, " ")</f>
        <v xml:space="preserve"> </v>
      </c>
      <c r="E97" t="str">
        <f>IF('Raw File'!C97&gt;0, 296, " ")</f>
        <v xml:space="preserve"> </v>
      </c>
      <c r="F97" s="10" t="str">
        <f>IF('Raw File'!C97&gt;0, "5", " ")</f>
        <v xml:space="preserve"> </v>
      </c>
      <c r="G97" t="str">
        <f>IF('Raw File'!C97&gt;0, "X", " ")</f>
        <v xml:space="preserve"> </v>
      </c>
      <c r="H97" t="str">
        <f>IF('Raw File'!N97="H", "S", LEFT('Raw File'!N97, 1))</f>
        <v/>
      </c>
      <c r="J97" t="str">
        <f>IF('Raw File'!J97&gt;0,'Raw File'!J97," ")</f>
        <v xml:space="preserve"> </v>
      </c>
      <c r="L97" t="str">
        <f>IF('Raw File'!M97&gt;0,'Raw File'!M97," ")</f>
        <v xml:space="preserve"> </v>
      </c>
      <c r="M97" t="str">
        <f>IF('Raw File'!K97&gt;0,'Raw File'!K97," ")</f>
        <v xml:space="preserve"> </v>
      </c>
      <c r="N97" t="str">
        <f>IF('Raw File'!L97&gt;0,'Raw File'!L97," ")</f>
        <v xml:space="preserve"> </v>
      </c>
      <c r="U97" t="str">
        <f>IF('Raw File'!Q97&gt;0,'Raw File'!Q97," ")</f>
        <v xml:space="preserve"> </v>
      </c>
      <c r="Y97" t="str">
        <f>IF('Raw File'!C97&gt;0,'Raw File'!C97," ")</f>
        <v xml:space="preserve"> </v>
      </c>
      <c r="Z97" t="str">
        <f>IF('Raw File'!C97&gt;0, "A", " ")</f>
        <v xml:space="preserve"> </v>
      </c>
      <c r="AA97" t="str">
        <f>IF('Raw File'!C97&gt;0, "F", " ")</f>
        <v xml:space="preserve"> </v>
      </c>
      <c r="AB97" t="str">
        <f>IF('Raw File'!H97&gt;0,'Raw File'!H97," ")</f>
        <v xml:space="preserve"> </v>
      </c>
      <c r="AC97" s="11" t="str">
        <f>IF('Raw File'!C97&gt;0,IF(WhatColor('Raw File'!C97)&gt;10,8810,8018)," ")</f>
        <v xml:space="preserve"> </v>
      </c>
      <c r="AD97" s="1" t="str">
        <f>IF('Raw File'!C97&gt;0,'Raw File'!A97," ")</f>
        <v xml:space="preserve"> </v>
      </c>
      <c r="AE97" s="1" t="str">
        <f>IF('Raw File'!C97&gt;0,'Raw File'!A97," ")</f>
        <v xml:space="preserve"> </v>
      </c>
      <c r="AF97" s="1" t="str">
        <f>IF('Raw File'!C97&gt;0,'Raw File'!A97," ")</f>
        <v xml:space="preserve"> </v>
      </c>
      <c r="AG97" t="str">
        <f>IF('Raw File'!C97&gt;0,'Raw File'!C97, " ")</f>
        <v xml:space="preserve"> </v>
      </c>
      <c r="AQ97" t="str">
        <f>IF('Raw File'!G97&gt;0, IF('Raw File'!G97&lt;100, "H", "S"), " ")</f>
        <v xml:space="preserve"> </v>
      </c>
      <c r="AR97" t="str">
        <f>IF('Raw File'!G97&gt;0,'Raw File'!G97," ")</f>
        <v xml:space="preserve"> </v>
      </c>
      <c r="AT97" t="str">
        <f>IF('Raw File'!C97&gt;0,40," ")</f>
        <v xml:space="preserve"> </v>
      </c>
      <c r="AV97" t="str">
        <f>IF('Raw File'!N97= 0, " ", IF('Raw File'!N97="S", "SS", IF( 'Raw File'!N97= "M", "MJ", IF('Raw File'!N97= "H", "H"))))</f>
        <v xml:space="preserve"> </v>
      </c>
      <c r="AW97" s="12"/>
      <c r="AX97" t="str">
        <f>LEFT('Raw File'!P97,1)</f>
        <v/>
      </c>
      <c r="AY97" t="str">
        <f>LEFT('Raw File'!N97,1)</f>
        <v/>
      </c>
      <c r="AZ97">
        <f>IF('Raw File'!O97="exempt",99,IF('Raw File'!O97&gt;0,'Raw File'!O97/2000,IF('Raw File'!O97=0,'Raw File'!O97," ")))</f>
        <v>0</v>
      </c>
      <c r="BA97" t="str">
        <f>LEFT('Raw File'!P97,1)</f>
        <v/>
      </c>
      <c r="BJ97" t="str">
        <f>IF('Raw File'!C97&gt;0,"1"," ")</f>
        <v xml:space="preserve"> </v>
      </c>
      <c r="BX97" t="str">
        <f>IF('Raw File'!C97&gt;0,"WEEKLY"," ")</f>
        <v xml:space="preserve"> </v>
      </c>
      <c r="CA97" t="str">
        <f>IF('Raw File'!C97&gt;0, "N"," ")</f>
        <v xml:space="preserve"> </v>
      </c>
      <c r="CI97" t="str">
        <f>IF('Raw File'!C97&gt;0, "W", " ")</f>
        <v xml:space="preserve"> </v>
      </c>
      <c r="DN97" s="1" t="str">
        <f>IF('Raw File'!C97&gt;0,'Raw File'!A97," ")</f>
        <v xml:space="preserve"> </v>
      </c>
      <c r="GY97">
        <f>IF('Raw File'!O97=" "," ",IF('Raw File'!O97&gt;100,'Raw File'!O97,IF('Raw File'!O97="exempt","99999",IF('Raw File'!O97&lt;100, 'Raw File'!O97*2000, " "))))</f>
        <v>0</v>
      </c>
      <c r="HQ97" t="str">
        <f>IF('Raw File'!C97&gt;0,"1"," ")</f>
        <v xml:space="preserve"> </v>
      </c>
    </row>
    <row r="98" spans="1:225" x14ac:dyDescent="0.35">
      <c r="A98" t="str">
        <f>IF('Raw File'!E98&gt;0,'Raw File'!E98, " ")</f>
        <v xml:space="preserve"> </v>
      </c>
      <c r="B98" t="str">
        <f>IF('Raw File'!D98&gt;0,'Raw File'!D98," ")</f>
        <v xml:space="preserve"> </v>
      </c>
      <c r="C98" t="str">
        <f>IF('Raw File'!F98&gt;0,'Raw File'!F98, " ")</f>
        <v xml:space="preserve"> </v>
      </c>
      <c r="D98" s="1" t="str">
        <f>IF('Raw File'!R98&gt;0,'Raw File'!R98, " ")</f>
        <v xml:space="preserve"> </v>
      </c>
      <c r="E98" t="str">
        <f>IF('Raw File'!C98&gt;0, 296, " ")</f>
        <v xml:space="preserve"> </v>
      </c>
      <c r="F98" s="10" t="str">
        <f>IF('Raw File'!C98&gt;0, "5", " ")</f>
        <v xml:space="preserve"> </v>
      </c>
      <c r="G98" t="str">
        <f>IF('Raw File'!C98&gt;0, "X", " ")</f>
        <v xml:space="preserve"> </v>
      </c>
      <c r="H98" t="str">
        <f>IF('Raw File'!N98="H", "S", LEFT('Raw File'!N98, 1))</f>
        <v/>
      </c>
      <c r="J98" t="str">
        <f>IF('Raw File'!J98&gt;0,'Raw File'!J98," ")</f>
        <v xml:space="preserve"> </v>
      </c>
      <c r="L98" t="str">
        <f>IF('Raw File'!M98&gt;0,'Raw File'!M98," ")</f>
        <v xml:space="preserve"> </v>
      </c>
      <c r="M98" t="str">
        <f>IF('Raw File'!K98&gt;0,'Raw File'!K98," ")</f>
        <v xml:space="preserve"> </v>
      </c>
      <c r="N98" t="str">
        <f>IF('Raw File'!L98&gt;0,'Raw File'!L98," ")</f>
        <v xml:space="preserve"> </v>
      </c>
      <c r="U98" t="str">
        <f>IF('Raw File'!Q98&gt;0,'Raw File'!Q98," ")</f>
        <v xml:space="preserve"> </v>
      </c>
      <c r="Y98" t="str">
        <f>IF('Raw File'!C98&gt;0,'Raw File'!C98," ")</f>
        <v xml:space="preserve"> </v>
      </c>
      <c r="Z98" t="str">
        <f>IF('Raw File'!C98&gt;0, "A", " ")</f>
        <v xml:space="preserve"> </v>
      </c>
      <c r="AA98" t="str">
        <f>IF('Raw File'!C98&gt;0, "F", " ")</f>
        <v xml:space="preserve"> </v>
      </c>
      <c r="AB98" t="str">
        <f>IF('Raw File'!H98&gt;0,'Raw File'!H98," ")</f>
        <v xml:space="preserve"> </v>
      </c>
      <c r="AC98" s="11" t="str">
        <f>IF('Raw File'!C98&gt;0,IF(WhatColor('Raw File'!C98)&gt;10,8810,8018)," ")</f>
        <v xml:space="preserve"> </v>
      </c>
      <c r="AD98" s="1" t="str">
        <f>IF('Raw File'!C98&gt;0,'Raw File'!A98," ")</f>
        <v xml:space="preserve"> </v>
      </c>
      <c r="AE98" s="1" t="str">
        <f>IF('Raw File'!C98&gt;0,'Raw File'!A98," ")</f>
        <v xml:space="preserve"> </v>
      </c>
      <c r="AF98" s="1" t="str">
        <f>IF('Raw File'!C98&gt;0,'Raw File'!A98," ")</f>
        <v xml:space="preserve"> </v>
      </c>
      <c r="AG98" t="str">
        <f>IF('Raw File'!C98&gt;0,'Raw File'!C98, " ")</f>
        <v xml:space="preserve"> </v>
      </c>
      <c r="AQ98" t="str">
        <f>IF('Raw File'!G98&gt;0, IF('Raw File'!G98&lt;100, "H", "S"), " ")</f>
        <v xml:space="preserve"> </v>
      </c>
      <c r="AR98" t="str">
        <f>IF('Raw File'!G98&gt;0,'Raw File'!G98," ")</f>
        <v xml:space="preserve"> </v>
      </c>
      <c r="AT98" t="str">
        <f>IF('Raw File'!C98&gt;0,40," ")</f>
        <v xml:space="preserve"> </v>
      </c>
      <c r="AV98" t="str">
        <f>IF('Raw File'!N98= 0, " ", IF('Raw File'!N98="S", "SS", IF( 'Raw File'!N98= "M", "MJ", IF('Raw File'!N98= "H", "H"))))</f>
        <v xml:space="preserve"> </v>
      </c>
      <c r="AW98" s="12"/>
      <c r="AX98" t="str">
        <f>LEFT('Raw File'!P98,1)</f>
        <v/>
      </c>
      <c r="AY98" t="str">
        <f>LEFT('Raw File'!N98,1)</f>
        <v/>
      </c>
      <c r="AZ98">
        <f>IF('Raw File'!O98="exempt",99,IF('Raw File'!O98&gt;0,'Raw File'!O98/2000,IF('Raw File'!O98=0,'Raw File'!O98," ")))</f>
        <v>0</v>
      </c>
      <c r="BA98" t="str">
        <f>LEFT('Raw File'!P98,1)</f>
        <v/>
      </c>
      <c r="BJ98" t="str">
        <f>IF('Raw File'!C98&gt;0,"1"," ")</f>
        <v xml:space="preserve"> </v>
      </c>
      <c r="BX98" t="str">
        <f>IF('Raw File'!C98&gt;0,"WEEKLY"," ")</f>
        <v xml:space="preserve"> </v>
      </c>
      <c r="CA98" t="str">
        <f>IF('Raw File'!C98&gt;0, "N"," ")</f>
        <v xml:space="preserve"> </v>
      </c>
      <c r="CI98" t="str">
        <f>IF('Raw File'!C98&gt;0, "W", " ")</f>
        <v xml:space="preserve"> </v>
      </c>
      <c r="DN98" s="1" t="str">
        <f>IF('Raw File'!C98&gt;0,'Raw File'!A98," ")</f>
        <v xml:space="preserve"> </v>
      </c>
      <c r="GY98">
        <f>IF('Raw File'!O98=" "," ",IF('Raw File'!O98&gt;100,'Raw File'!O98,IF('Raw File'!O98="exempt","99999",IF('Raw File'!O98&lt;100, 'Raw File'!O98*2000, " "))))</f>
        <v>0</v>
      </c>
      <c r="HQ98" t="str">
        <f>IF('Raw File'!C98&gt;0,"1"," ")</f>
        <v xml:space="preserve"> </v>
      </c>
    </row>
    <row r="99" spans="1:225" x14ac:dyDescent="0.35">
      <c r="A99" t="str">
        <f>IF('Raw File'!E99&gt;0,'Raw File'!E99, " ")</f>
        <v xml:space="preserve"> </v>
      </c>
      <c r="B99" t="str">
        <f>IF('Raw File'!D99&gt;0,'Raw File'!D99," ")</f>
        <v xml:space="preserve"> </v>
      </c>
      <c r="C99" t="str">
        <f>IF('Raw File'!F99&gt;0,'Raw File'!F99, " ")</f>
        <v xml:space="preserve"> </v>
      </c>
      <c r="D99" s="1" t="str">
        <f>IF('Raw File'!R99&gt;0,'Raw File'!R99, " ")</f>
        <v xml:space="preserve"> </v>
      </c>
      <c r="E99" t="str">
        <f>IF('Raw File'!C99&gt;0, 296, " ")</f>
        <v xml:space="preserve"> </v>
      </c>
      <c r="F99" s="10" t="str">
        <f>IF('Raw File'!C99&gt;0, "5", " ")</f>
        <v xml:space="preserve"> </v>
      </c>
      <c r="G99" t="str">
        <f>IF('Raw File'!C99&gt;0, "X", " ")</f>
        <v xml:space="preserve"> </v>
      </c>
      <c r="H99" t="str">
        <f>IF('Raw File'!N99="H", "S", LEFT('Raw File'!N99, 1))</f>
        <v/>
      </c>
      <c r="J99" t="str">
        <f>IF('Raw File'!J99&gt;0,'Raw File'!J99," ")</f>
        <v xml:space="preserve"> </v>
      </c>
      <c r="L99" t="str">
        <f>IF('Raw File'!M99&gt;0,'Raw File'!M99," ")</f>
        <v xml:space="preserve"> </v>
      </c>
      <c r="M99" t="str">
        <f>IF('Raw File'!K99&gt;0,'Raw File'!K99," ")</f>
        <v xml:space="preserve"> </v>
      </c>
      <c r="N99" t="str">
        <f>IF('Raw File'!L99&gt;0,'Raw File'!L99," ")</f>
        <v xml:space="preserve"> </v>
      </c>
      <c r="U99" t="str">
        <f>IF('Raw File'!Q99&gt;0,'Raw File'!Q99," ")</f>
        <v xml:space="preserve"> </v>
      </c>
      <c r="Y99" t="str">
        <f>IF('Raw File'!C99&gt;0,'Raw File'!C99," ")</f>
        <v xml:space="preserve"> </v>
      </c>
      <c r="Z99" t="str">
        <f>IF('Raw File'!C99&gt;0, "A", " ")</f>
        <v xml:space="preserve"> </v>
      </c>
      <c r="AA99" t="str">
        <f>IF('Raw File'!C99&gt;0, "F", " ")</f>
        <v xml:space="preserve"> </v>
      </c>
      <c r="AB99" t="str">
        <f>IF('Raw File'!H99&gt;0,'Raw File'!H99," ")</f>
        <v xml:space="preserve"> </v>
      </c>
      <c r="AC99" s="11" t="str">
        <f>IF('Raw File'!C99&gt;0,IF(WhatColor('Raw File'!C99)&gt;10,8810,8018)," ")</f>
        <v xml:space="preserve"> </v>
      </c>
      <c r="AD99" s="1" t="str">
        <f>IF('Raw File'!C99&gt;0,'Raw File'!A99," ")</f>
        <v xml:space="preserve"> </v>
      </c>
      <c r="AE99" s="1" t="str">
        <f>IF('Raw File'!C99&gt;0,'Raw File'!A99," ")</f>
        <v xml:space="preserve"> </v>
      </c>
      <c r="AF99" s="1" t="str">
        <f>IF('Raw File'!C99&gt;0,'Raw File'!A99," ")</f>
        <v xml:space="preserve"> </v>
      </c>
      <c r="AG99" t="str">
        <f>IF('Raw File'!C99&gt;0,'Raw File'!C99, " ")</f>
        <v xml:space="preserve"> </v>
      </c>
      <c r="AQ99" t="str">
        <f>IF('Raw File'!G99&gt;0, IF('Raw File'!G99&lt;100, "H", "S"), " ")</f>
        <v xml:space="preserve"> </v>
      </c>
      <c r="AR99" t="str">
        <f>IF('Raw File'!G99&gt;0,'Raw File'!G99," ")</f>
        <v xml:space="preserve"> </v>
      </c>
      <c r="AT99" t="str">
        <f>IF('Raw File'!C99&gt;0,40," ")</f>
        <v xml:space="preserve"> </v>
      </c>
      <c r="AV99" t="str">
        <f>IF('Raw File'!N99= 0, " ", IF('Raw File'!N99="S", "SS", IF( 'Raw File'!N99= "M", "MJ", IF('Raw File'!N99= "H", "H"))))</f>
        <v xml:space="preserve"> </v>
      </c>
      <c r="AW99" s="12"/>
      <c r="AX99" t="str">
        <f>LEFT('Raw File'!P99,1)</f>
        <v/>
      </c>
      <c r="AY99" t="str">
        <f>LEFT('Raw File'!N99,1)</f>
        <v/>
      </c>
      <c r="AZ99">
        <f>IF('Raw File'!O99="exempt",99,IF('Raw File'!O99&gt;0,'Raw File'!O99/2000,IF('Raw File'!O99=0,'Raw File'!O99," ")))</f>
        <v>0</v>
      </c>
      <c r="BA99" t="str">
        <f>LEFT('Raw File'!P99,1)</f>
        <v/>
      </c>
      <c r="BJ99" t="str">
        <f>IF('Raw File'!C99&gt;0,"1"," ")</f>
        <v xml:space="preserve"> </v>
      </c>
      <c r="BX99" t="str">
        <f>IF('Raw File'!C99&gt;0,"WEEKLY"," ")</f>
        <v xml:space="preserve"> </v>
      </c>
      <c r="CA99" t="str">
        <f>IF('Raw File'!C99&gt;0, "N"," ")</f>
        <v xml:space="preserve"> </v>
      </c>
      <c r="CI99" t="str">
        <f>IF('Raw File'!C99&gt;0, "W", " ")</f>
        <v xml:space="preserve"> </v>
      </c>
      <c r="DN99" s="1" t="str">
        <f>IF('Raw File'!C99&gt;0,'Raw File'!A99," ")</f>
        <v xml:space="preserve"> </v>
      </c>
      <c r="GY99">
        <f>IF('Raw File'!O99=" "," ",IF('Raw File'!O99&gt;100,'Raw File'!O99,IF('Raw File'!O99="exempt","99999",IF('Raw File'!O99&lt;100, 'Raw File'!O99*2000, " "))))</f>
        <v>0</v>
      </c>
      <c r="HQ99" t="str">
        <f>IF('Raw File'!C99&gt;0,"1"," ")</f>
        <v xml:space="preserve"> </v>
      </c>
    </row>
    <row r="100" spans="1:225" x14ac:dyDescent="0.35">
      <c r="A100" t="str">
        <f>IF('Raw File'!E100&gt;0,'Raw File'!E100, " ")</f>
        <v xml:space="preserve"> </v>
      </c>
      <c r="B100" t="str">
        <f>IF('Raw File'!D100&gt;0,'Raw File'!D100," ")</f>
        <v xml:space="preserve"> </v>
      </c>
      <c r="C100" t="str">
        <f>IF('Raw File'!F100&gt;0,'Raw File'!F100, " ")</f>
        <v xml:space="preserve"> </v>
      </c>
      <c r="D100" s="1" t="str">
        <f>IF('Raw File'!R100&gt;0,'Raw File'!R100, " ")</f>
        <v xml:space="preserve"> </v>
      </c>
      <c r="E100" t="str">
        <f>IF('Raw File'!C100&gt;0, 296, " ")</f>
        <v xml:space="preserve"> </v>
      </c>
      <c r="F100" s="10" t="str">
        <f>IF('Raw File'!C100&gt;0, "5", " ")</f>
        <v xml:space="preserve"> </v>
      </c>
      <c r="G100" t="str">
        <f>IF('Raw File'!C100&gt;0, "X", " ")</f>
        <v xml:space="preserve"> </v>
      </c>
      <c r="H100" t="str">
        <f>IF('Raw File'!N100="H", "S", LEFT('Raw File'!N100, 1))</f>
        <v/>
      </c>
      <c r="J100" t="str">
        <f>IF('Raw File'!J100&gt;0,'Raw File'!J100," ")</f>
        <v xml:space="preserve"> </v>
      </c>
      <c r="L100" t="str">
        <f>IF('Raw File'!M100&gt;0,'Raw File'!M100," ")</f>
        <v xml:space="preserve"> </v>
      </c>
      <c r="M100" t="str">
        <f>IF('Raw File'!K100&gt;0,'Raw File'!K100," ")</f>
        <v xml:space="preserve"> </v>
      </c>
      <c r="N100" t="str">
        <f>IF('Raw File'!L100&gt;0,'Raw File'!L100," ")</f>
        <v xml:space="preserve"> </v>
      </c>
      <c r="U100" t="str">
        <f>IF('Raw File'!Q100&gt;0,'Raw File'!Q100," ")</f>
        <v xml:space="preserve"> </v>
      </c>
      <c r="Y100" t="str">
        <f>IF('Raw File'!C100&gt;0,'Raw File'!C100," ")</f>
        <v xml:space="preserve"> </v>
      </c>
      <c r="Z100" t="str">
        <f>IF('Raw File'!C100&gt;0, "A", " ")</f>
        <v xml:space="preserve"> </v>
      </c>
      <c r="AA100" t="str">
        <f>IF('Raw File'!C100&gt;0, "F", " ")</f>
        <v xml:space="preserve"> </v>
      </c>
      <c r="AB100" t="str">
        <f>IF('Raw File'!H100&gt;0,'Raw File'!H100," ")</f>
        <v xml:space="preserve"> </v>
      </c>
      <c r="AC100" s="11" t="str">
        <f>IF('Raw File'!C100&gt;0,IF(WhatColor('Raw File'!C100)&gt;10,8810,8018)," ")</f>
        <v xml:space="preserve"> </v>
      </c>
      <c r="AD100" s="1" t="str">
        <f>IF('Raw File'!C100&gt;0,'Raw File'!A100," ")</f>
        <v xml:space="preserve"> </v>
      </c>
      <c r="AE100" s="1" t="str">
        <f>IF('Raw File'!C100&gt;0,'Raw File'!A100," ")</f>
        <v xml:space="preserve"> </v>
      </c>
      <c r="AF100" s="1" t="str">
        <f>IF('Raw File'!C100&gt;0,'Raw File'!A100," ")</f>
        <v xml:space="preserve"> </v>
      </c>
      <c r="AG100" t="str">
        <f>IF('Raw File'!C100&gt;0,'Raw File'!C100, " ")</f>
        <v xml:space="preserve"> </v>
      </c>
      <c r="AQ100" t="str">
        <f>IF('Raw File'!G100&gt;0, IF('Raw File'!G100&lt;100, "H", "S"), " ")</f>
        <v xml:space="preserve"> </v>
      </c>
      <c r="AR100" t="str">
        <f>IF('Raw File'!G100&gt;0,'Raw File'!G100," ")</f>
        <v xml:space="preserve"> </v>
      </c>
      <c r="AT100" t="str">
        <f>IF('Raw File'!C100&gt;0,40," ")</f>
        <v xml:space="preserve"> </v>
      </c>
      <c r="AV100" t="str">
        <f>IF('Raw File'!N100= 0, " ", IF('Raw File'!N100="S", "SS", IF( 'Raw File'!N100= "M", "MJ", IF('Raw File'!N100= "H", "H"))))</f>
        <v xml:space="preserve"> </v>
      </c>
      <c r="AW100" s="12"/>
      <c r="AX100" t="str">
        <f>LEFT('Raw File'!P100,1)</f>
        <v/>
      </c>
      <c r="AY100" t="str">
        <f>LEFT('Raw File'!N100,1)</f>
        <v/>
      </c>
      <c r="AZ100">
        <f>IF('Raw File'!O100="exempt",99,IF('Raw File'!O100&gt;0,'Raw File'!O100/2000,IF('Raw File'!O100=0,'Raw File'!O100," ")))</f>
        <v>0</v>
      </c>
      <c r="BA100" t="str">
        <f>LEFT('Raw File'!P100,1)</f>
        <v/>
      </c>
      <c r="BJ100" t="str">
        <f>IF('Raw File'!C100&gt;0,"1"," ")</f>
        <v xml:space="preserve"> </v>
      </c>
      <c r="BX100" t="str">
        <f>IF('Raw File'!C100&gt;0,"WEEKLY"," ")</f>
        <v xml:space="preserve"> </v>
      </c>
      <c r="CA100" t="str">
        <f>IF('Raw File'!C100&gt;0, "N"," ")</f>
        <v xml:space="preserve"> </v>
      </c>
      <c r="CI100" t="str">
        <f>IF('Raw File'!C100&gt;0, "W", " ")</f>
        <v xml:space="preserve"> </v>
      </c>
      <c r="DN100" s="1" t="str">
        <f>IF('Raw File'!C100&gt;0,'Raw File'!A100," ")</f>
        <v xml:space="preserve"> </v>
      </c>
      <c r="GY100">
        <f>IF('Raw File'!O100=" "," ",IF('Raw File'!O100&gt;100,'Raw File'!O100,IF('Raw File'!O100="exempt","99999",IF('Raw File'!O100&lt;100, 'Raw File'!O100*2000, " "))))</f>
        <v>0</v>
      </c>
      <c r="HQ100" t="str">
        <f>IF('Raw File'!C100&gt;0,"1"," ")</f>
        <v xml:space="preserve"> </v>
      </c>
    </row>
    <row r="101" spans="1:225" x14ac:dyDescent="0.35">
      <c r="A101" t="str">
        <f>IF('Raw File'!E101&gt;0,'Raw File'!E101, " ")</f>
        <v xml:space="preserve"> </v>
      </c>
      <c r="B101" t="str">
        <f>IF('Raw File'!D101&gt;0,'Raw File'!D101," ")</f>
        <v xml:space="preserve"> </v>
      </c>
      <c r="C101" t="str">
        <f>IF('Raw File'!F101&gt;0,'Raw File'!F101, " ")</f>
        <v xml:space="preserve"> </v>
      </c>
      <c r="D101" s="1" t="str">
        <f>IF('Raw File'!R101&gt;0,'Raw File'!R101, " ")</f>
        <v xml:space="preserve"> </v>
      </c>
      <c r="E101" t="str">
        <f>IF('Raw File'!C101&gt;0, 296, " ")</f>
        <v xml:space="preserve"> </v>
      </c>
      <c r="F101" s="10" t="str">
        <f>IF('Raw File'!C101&gt;0, "5", " ")</f>
        <v xml:space="preserve"> </v>
      </c>
      <c r="G101" t="str">
        <f>IF('Raw File'!C101&gt;0, "X", " ")</f>
        <v xml:space="preserve"> </v>
      </c>
      <c r="H101" t="str">
        <f>IF('Raw File'!N101="H", "S", LEFT('Raw File'!N101, 1))</f>
        <v/>
      </c>
      <c r="J101" t="str">
        <f>IF('Raw File'!J101&gt;0,'Raw File'!J101," ")</f>
        <v xml:space="preserve"> </v>
      </c>
      <c r="L101" t="str">
        <f>IF('Raw File'!M101&gt;0,'Raw File'!M101," ")</f>
        <v xml:space="preserve"> </v>
      </c>
      <c r="M101" t="str">
        <f>IF('Raw File'!K101&gt;0,'Raw File'!K101," ")</f>
        <v xml:space="preserve"> </v>
      </c>
      <c r="N101" t="str">
        <f>IF('Raw File'!L101&gt;0,'Raw File'!L101," ")</f>
        <v xml:space="preserve"> </v>
      </c>
      <c r="U101" t="str">
        <f>IF('Raw File'!Q101&gt;0,'Raw File'!Q101," ")</f>
        <v xml:space="preserve"> </v>
      </c>
      <c r="Y101" t="str">
        <f>IF('Raw File'!C101&gt;0,'Raw File'!C101," ")</f>
        <v xml:space="preserve"> </v>
      </c>
      <c r="Z101" t="str">
        <f>IF('Raw File'!C101&gt;0, "A", " ")</f>
        <v xml:space="preserve"> </v>
      </c>
      <c r="AA101" t="str">
        <f>IF('Raw File'!C101&gt;0, "F", " ")</f>
        <v xml:space="preserve"> </v>
      </c>
      <c r="AB101" t="str">
        <f>IF('Raw File'!H101&gt;0,'Raw File'!H101," ")</f>
        <v xml:space="preserve"> </v>
      </c>
      <c r="AC101" s="11" t="str">
        <f>IF('Raw File'!C101&gt;0,IF(WhatColor('Raw File'!C101)&gt;10,8810,8018)," ")</f>
        <v xml:space="preserve"> </v>
      </c>
      <c r="AD101" s="1" t="str">
        <f>IF('Raw File'!C101&gt;0,'Raw File'!A101," ")</f>
        <v xml:space="preserve"> </v>
      </c>
      <c r="AE101" s="1" t="str">
        <f>IF('Raw File'!C101&gt;0,'Raw File'!A101," ")</f>
        <v xml:space="preserve"> </v>
      </c>
      <c r="AF101" s="1" t="str">
        <f>IF('Raw File'!C101&gt;0,'Raw File'!A101," ")</f>
        <v xml:space="preserve"> </v>
      </c>
      <c r="AG101" t="str">
        <f>IF('Raw File'!C101&gt;0,'Raw File'!C101, " ")</f>
        <v xml:space="preserve"> </v>
      </c>
      <c r="AQ101" t="str">
        <f>IF('Raw File'!G101&gt;0, IF('Raw File'!G101&lt;100, "H", "S"), " ")</f>
        <v xml:space="preserve"> </v>
      </c>
      <c r="AR101" t="str">
        <f>IF('Raw File'!G101&gt;0,'Raw File'!G101," ")</f>
        <v xml:space="preserve"> </v>
      </c>
      <c r="AT101" t="str">
        <f>IF('Raw File'!C101&gt;0,40," ")</f>
        <v xml:space="preserve"> </v>
      </c>
      <c r="AV101" t="str">
        <f>IF('Raw File'!N101= 0, " ", IF('Raw File'!N101="S", "SS", IF( 'Raw File'!N101= "M", "MJ", IF('Raw File'!N101= "H", "H"))))</f>
        <v xml:space="preserve"> </v>
      </c>
      <c r="AW101" s="12"/>
      <c r="AX101" t="str">
        <f>LEFT('Raw File'!P101,1)</f>
        <v/>
      </c>
      <c r="AY101" t="str">
        <f>LEFT('Raw File'!N101,1)</f>
        <v/>
      </c>
      <c r="AZ101">
        <f>IF('Raw File'!O101="exempt",99,IF('Raw File'!O101&gt;0,'Raw File'!O101/2000,IF('Raw File'!O101=0,'Raw File'!O101," ")))</f>
        <v>0</v>
      </c>
      <c r="BA101" t="str">
        <f>LEFT('Raw File'!P101,1)</f>
        <v/>
      </c>
      <c r="BJ101" t="str">
        <f>IF('Raw File'!C101&gt;0,"1"," ")</f>
        <v xml:space="preserve"> </v>
      </c>
      <c r="BX101" t="str">
        <f>IF('Raw File'!C101&gt;0,"WEEKLY"," ")</f>
        <v xml:space="preserve"> </v>
      </c>
      <c r="CA101" t="str">
        <f>IF('Raw File'!C101&gt;0, "N"," ")</f>
        <v xml:space="preserve"> </v>
      </c>
      <c r="CI101" t="str">
        <f>IF('Raw File'!C101&gt;0, "W", " ")</f>
        <v xml:space="preserve"> </v>
      </c>
      <c r="DN101" s="1" t="str">
        <f>IF('Raw File'!C101&gt;0,'Raw File'!A101," ")</f>
        <v xml:space="preserve"> </v>
      </c>
      <c r="GY101">
        <f>IF('Raw File'!O101=" "," ",IF('Raw File'!O101&gt;100,'Raw File'!O101,IF('Raw File'!O101="exempt","99999",IF('Raw File'!O101&lt;100, 'Raw File'!O101*2000, " "))))</f>
        <v>0</v>
      </c>
      <c r="HQ101" t="str">
        <f>IF('Raw File'!C101&gt;0,"1"," ")</f>
        <v xml:space="preserve"> </v>
      </c>
    </row>
    <row r="102" spans="1:225" x14ac:dyDescent="0.35">
      <c r="A102" t="str">
        <f>IF('Raw File'!E102&gt;0,'Raw File'!E102, " ")</f>
        <v xml:space="preserve"> </v>
      </c>
      <c r="B102" t="str">
        <f>IF('Raw File'!D102&gt;0,'Raw File'!D102," ")</f>
        <v xml:space="preserve"> </v>
      </c>
      <c r="C102" t="str">
        <f>IF('Raw File'!F102&gt;0,'Raw File'!F102, " ")</f>
        <v xml:space="preserve"> </v>
      </c>
      <c r="D102" s="1" t="str">
        <f>IF('Raw File'!R102&gt;0,'Raw File'!R102, " ")</f>
        <v xml:space="preserve"> </v>
      </c>
      <c r="E102" t="str">
        <f>IF('Raw File'!C102&gt;0, 296, " ")</f>
        <v xml:space="preserve"> </v>
      </c>
      <c r="F102" s="10" t="str">
        <f>IF('Raw File'!C102&gt;0, "5", " ")</f>
        <v xml:space="preserve"> </v>
      </c>
      <c r="G102" t="str">
        <f>IF('Raw File'!C102&gt;0, "X", " ")</f>
        <v xml:space="preserve"> </v>
      </c>
      <c r="H102" t="str">
        <f>IF('Raw File'!N102="H", "S", LEFT('Raw File'!N102, 1))</f>
        <v/>
      </c>
      <c r="J102" t="str">
        <f>IF('Raw File'!J102&gt;0,'Raw File'!J102," ")</f>
        <v xml:space="preserve"> </v>
      </c>
      <c r="L102" t="str">
        <f>IF('Raw File'!M102&gt;0,'Raw File'!M102," ")</f>
        <v xml:space="preserve"> </v>
      </c>
      <c r="M102" t="str">
        <f>IF('Raw File'!K102&gt;0,'Raw File'!K102," ")</f>
        <v xml:space="preserve"> </v>
      </c>
      <c r="N102" t="str">
        <f>IF('Raw File'!L102&gt;0,'Raw File'!L102," ")</f>
        <v xml:space="preserve"> </v>
      </c>
      <c r="U102" t="str">
        <f>IF('Raw File'!Q102&gt;0,'Raw File'!Q102," ")</f>
        <v xml:space="preserve"> </v>
      </c>
      <c r="Y102" t="str">
        <f>IF('Raw File'!C102&gt;0,'Raw File'!C102," ")</f>
        <v xml:space="preserve"> </v>
      </c>
      <c r="Z102" t="str">
        <f>IF('Raw File'!C102&gt;0, "A", " ")</f>
        <v xml:space="preserve"> </v>
      </c>
      <c r="AA102" t="str">
        <f>IF('Raw File'!C102&gt;0, "F", " ")</f>
        <v xml:space="preserve"> </v>
      </c>
      <c r="AB102" t="str">
        <f>IF('Raw File'!H102&gt;0,'Raw File'!H102," ")</f>
        <v xml:space="preserve"> </v>
      </c>
      <c r="AC102" s="11" t="str">
        <f>IF('Raw File'!C102&gt;0,IF(WhatColor('Raw File'!C102)&gt;10,8810,8018)," ")</f>
        <v xml:space="preserve"> </v>
      </c>
      <c r="AD102" s="1" t="str">
        <f>IF('Raw File'!C102&gt;0,'Raw File'!A102," ")</f>
        <v xml:space="preserve"> </v>
      </c>
      <c r="AE102" s="1" t="str">
        <f>IF('Raw File'!C102&gt;0,'Raw File'!A102," ")</f>
        <v xml:space="preserve"> </v>
      </c>
      <c r="AF102" s="1" t="str">
        <f>IF('Raw File'!C102&gt;0,'Raw File'!A102," ")</f>
        <v xml:space="preserve"> </v>
      </c>
      <c r="AG102" t="str">
        <f>IF('Raw File'!C102&gt;0,'Raw File'!C102, " ")</f>
        <v xml:space="preserve"> </v>
      </c>
      <c r="AQ102" t="str">
        <f>IF('Raw File'!G102&gt;0, IF('Raw File'!G102&lt;100, "H", "S"), " ")</f>
        <v xml:space="preserve"> </v>
      </c>
      <c r="AR102" t="str">
        <f>IF('Raw File'!G102&gt;0,'Raw File'!G102," ")</f>
        <v xml:space="preserve"> </v>
      </c>
      <c r="AT102" t="str">
        <f>IF('Raw File'!C102&gt;0,40," ")</f>
        <v xml:space="preserve"> </v>
      </c>
      <c r="AV102" t="str">
        <f>IF('Raw File'!N102= 0, " ", IF('Raw File'!N102="S", "SS", IF( 'Raw File'!N102= "M", "MJ", IF('Raw File'!N102= "H", "H"))))</f>
        <v xml:space="preserve"> </v>
      </c>
      <c r="AW102" s="12"/>
      <c r="AX102" t="str">
        <f>LEFT('Raw File'!P102,1)</f>
        <v/>
      </c>
      <c r="AY102" t="str">
        <f>LEFT('Raw File'!N102,1)</f>
        <v/>
      </c>
      <c r="AZ102">
        <f>IF('Raw File'!O102="exempt",99,IF('Raw File'!O102&gt;0,'Raw File'!O102/2000,IF('Raw File'!O102=0,'Raw File'!O102," ")))</f>
        <v>0</v>
      </c>
      <c r="BA102" t="str">
        <f>LEFT('Raw File'!P102,1)</f>
        <v/>
      </c>
      <c r="BJ102" t="str">
        <f>IF('Raw File'!C102&gt;0,"1"," ")</f>
        <v xml:space="preserve"> </v>
      </c>
      <c r="BX102" t="str">
        <f>IF('Raw File'!C102&gt;0,"WEEKLY"," ")</f>
        <v xml:space="preserve"> </v>
      </c>
      <c r="CA102" t="str">
        <f>IF('Raw File'!C102&gt;0, "N"," ")</f>
        <v xml:space="preserve"> </v>
      </c>
      <c r="CI102" t="str">
        <f>IF('Raw File'!C102&gt;0, "W", " ")</f>
        <v xml:space="preserve"> </v>
      </c>
      <c r="DN102" s="1" t="str">
        <f>IF('Raw File'!C102&gt;0,'Raw File'!A102," ")</f>
        <v xml:space="preserve"> </v>
      </c>
      <c r="GY102">
        <f>IF('Raw File'!O102=" "," ",IF('Raw File'!O102&gt;100,'Raw File'!O102,IF('Raw File'!O102="exempt","99999",IF('Raw File'!O102&lt;100, 'Raw File'!O102*2000, " "))))</f>
        <v>0</v>
      </c>
      <c r="HQ102" t="str">
        <f>IF('Raw File'!C102&gt;0,"1"," ")</f>
        <v xml:space="preserve"> </v>
      </c>
    </row>
    <row r="103" spans="1:225" x14ac:dyDescent="0.35">
      <c r="A103" t="str">
        <f>IF('Raw File'!E103&gt;0,'Raw File'!E103, " ")</f>
        <v xml:space="preserve"> </v>
      </c>
      <c r="B103" t="str">
        <f>IF('Raw File'!D103&gt;0,'Raw File'!D103," ")</f>
        <v xml:space="preserve"> </v>
      </c>
      <c r="C103" t="str">
        <f>IF('Raw File'!F103&gt;0,'Raw File'!F103, " ")</f>
        <v xml:space="preserve"> </v>
      </c>
      <c r="D103" s="1" t="str">
        <f>IF('Raw File'!R103&gt;0,'Raw File'!R103, " ")</f>
        <v xml:space="preserve"> </v>
      </c>
      <c r="E103" t="str">
        <f>IF('Raw File'!C103&gt;0, 296, " ")</f>
        <v xml:space="preserve"> </v>
      </c>
      <c r="F103" s="10" t="str">
        <f>IF('Raw File'!C103&gt;0, "5", " ")</f>
        <v xml:space="preserve"> </v>
      </c>
      <c r="G103" t="str">
        <f>IF('Raw File'!C103&gt;0, "X", " ")</f>
        <v xml:space="preserve"> </v>
      </c>
      <c r="H103" t="str">
        <f>IF('Raw File'!N103="H", "S", LEFT('Raw File'!N103, 1))</f>
        <v/>
      </c>
      <c r="J103" t="str">
        <f>IF('Raw File'!J103&gt;0,'Raw File'!J103," ")</f>
        <v xml:space="preserve"> </v>
      </c>
      <c r="L103" t="str">
        <f>IF('Raw File'!M103&gt;0,'Raw File'!M103," ")</f>
        <v xml:space="preserve"> </v>
      </c>
      <c r="M103" t="str">
        <f>IF('Raw File'!K103&gt;0,'Raw File'!K103," ")</f>
        <v xml:space="preserve"> </v>
      </c>
      <c r="N103" t="str">
        <f>IF('Raw File'!L103&gt;0,'Raw File'!L103," ")</f>
        <v xml:space="preserve"> </v>
      </c>
      <c r="U103" t="str">
        <f>IF('Raw File'!Q103&gt;0,'Raw File'!Q103," ")</f>
        <v xml:space="preserve"> </v>
      </c>
      <c r="Y103" t="str">
        <f>IF('Raw File'!C103&gt;0,'Raw File'!C103," ")</f>
        <v xml:space="preserve"> </v>
      </c>
      <c r="Z103" t="str">
        <f>IF('Raw File'!C103&gt;0, "A", " ")</f>
        <v xml:space="preserve"> </v>
      </c>
      <c r="AA103" t="str">
        <f>IF('Raw File'!C103&gt;0, "F", " ")</f>
        <v xml:space="preserve"> </v>
      </c>
      <c r="AB103" t="str">
        <f>IF('Raw File'!H103&gt;0,'Raw File'!H103," ")</f>
        <v xml:space="preserve"> </v>
      </c>
      <c r="AC103" s="11" t="str">
        <f>IF('Raw File'!C103&gt;0,IF(WhatColor('Raw File'!C103)&gt;10,8810,8018)," ")</f>
        <v xml:space="preserve"> </v>
      </c>
      <c r="AD103" s="1" t="str">
        <f>IF('Raw File'!C103&gt;0,'Raw File'!A103," ")</f>
        <v xml:space="preserve"> </v>
      </c>
      <c r="AE103" s="1" t="str">
        <f>IF('Raw File'!C103&gt;0,'Raw File'!A103," ")</f>
        <v xml:space="preserve"> </v>
      </c>
      <c r="AF103" s="1" t="str">
        <f>IF('Raw File'!C103&gt;0,'Raw File'!A103," ")</f>
        <v xml:space="preserve"> </v>
      </c>
      <c r="AG103" t="str">
        <f>IF('Raw File'!C103&gt;0,'Raw File'!C103, " ")</f>
        <v xml:space="preserve"> </v>
      </c>
      <c r="AQ103" t="str">
        <f>IF('Raw File'!G103&gt;0, IF('Raw File'!G103&lt;100, "H", "S"), " ")</f>
        <v xml:space="preserve"> </v>
      </c>
      <c r="AR103" t="str">
        <f>IF('Raw File'!G103&gt;0,'Raw File'!G103," ")</f>
        <v xml:space="preserve"> </v>
      </c>
      <c r="AT103" t="str">
        <f>IF('Raw File'!C103&gt;0,40," ")</f>
        <v xml:space="preserve"> </v>
      </c>
      <c r="AV103" t="str">
        <f>IF('Raw File'!N103= 0, " ", IF('Raw File'!N103="S", "SS", IF( 'Raw File'!N103= "M", "MJ", IF('Raw File'!N103= "H", "H"))))</f>
        <v xml:space="preserve"> </v>
      </c>
      <c r="AW103" s="12"/>
      <c r="AX103" t="str">
        <f>LEFT('Raw File'!P103,1)</f>
        <v/>
      </c>
      <c r="AY103" t="str">
        <f>LEFT('Raw File'!N103,1)</f>
        <v/>
      </c>
      <c r="AZ103">
        <f>IF('Raw File'!O103="exempt",99,IF('Raw File'!O103&gt;0,'Raw File'!O103/2000,IF('Raw File'!O103=0,'Raw File'!O103," ")))</f>
        <v>0</v>
      </c>
      <c r="BA103" t="str">
        <f>LEFT('Raw File'!P103,1)</f>
        <v/>
      </c>
      <c r="BJ103" t="str">
        <f>IF('Raw File'!C103&gt;0,"1"," ")</f>
        <v xml:space="preserve"> </v>
      </c>
      <c r="BX103" t="str">
        <f>IF('Raw File'!C103&gt;0,"WEEKLY"," ")</f>
        <v xml:space="preserve"> </v>
      </c>
      <c r="CA103" t="str">
        <f>IF('Raw File'!C103&gt;0, "N"," ")</f>
        <v xml:space="preserve"> </v>
      </c>
      <c r="CI103" t="str">
        <f>IF('Raw File'!C103&gt;0, "W", " ")</f>
        <v xml:space="preserve"> </v>
      </c>
      <c r="DN103" s="1" t="str">
        <f>IF('Raw File'!C103&gt;0,'Raw File'!A103," ")</f>
        <v xml:space="preserve"> </v>
      </c>
      <c r="GY103">
        <f>IF('Raw File'!O103=" "," ",IF('Raw File'!O103&gt;100,'Raw File'!O103,IF('Raw File'!O103="exempt","99999",IF('Raw File'!O103&lt;100, 'Raw File'!O103*2000, " "))))</f>
        <v>0</v>
      </c>
      <c r="HQ103" t="str">
        <f>IF('Raw File'!C103&gt;0,"1"," ")</f>
        <v xml:space="preserve"> </v>
      </c>
    </row>
    <row r="104" spans="1:225" x14ac:dyDescent="0.35">
      <c r="A104" t="str">
        <f>IF('Raw File'!E104&gt;0,'Raw File'!E104, " ")</f>
        <v xml:space="preserve"> </v>
      </c>
      <c r="B104" t="str">
        <f>IF('Raw File'!D104&gt;0,'Raw File'!D104," ")</f>
        <v xml:space="preserve"> </v>
      </c>
      <c r="C104" t="str">
        <f>IF('Raw File'!F104&gt;0,'Raw File'!F104, " ")</f>
        <v xml:space="preserve"> </v>
      </c>
      <c r="D104" s="1" t="str">
        <f>IF('Raw File'!R104&gt;0,'Raw File'!R104, " ")</f>
        <v xml:space="preserve"> </v>
      </c>
      <c r="E104" t="str">
        <f>IF('Raw File'!C104&gt;0, 296, " ")</f>
        <v xml:space="preserve"> </v>
      </c>
      <c r="F104" s="10" t="str">
        <f>IF('Raw File'!C104&gt;0, "5", " ")</f>
        <v xml:space="preserve"> </v>
      </c>
      <c r="G104" t="str">
        <f>IF('Raw File'!C104&gt;0, "X", " ")</f>
        <v xml:space="preserve"> </v>
      </c>
      <c r="H104" t="str">
        <f>IF('Raw File'!N104="H", "S", LEFT('Raw File'!N104, 1))</f>
        <v/>
      </c>
      <c r="J104" t="str">
        <f>IF('Raw File'!J104&gt;0,'Raw File'!J104," ")</f>
        <v xml:space="preserve"> </v>
      </c>
      <c r="L104" t="str">
        <f>IF('Raw File'!M104&gt;0,'Raw File'!M104," ")</f>
        <v xml:space="preserve"> </v>
      </c>
      <c r="M104" t="str">
        <f>IF('Raw File'!K104&gt;0,'Raw File'!K104," ")</f>
        <v xml:space="preserve"> </v>
      </c>
      <c r="N104" t="str">
        <f>IF('Raw File'!L104&gt;0,'Raw File'!L104," ")</f>
        <v xml:space="preserve"> </v>
      </c>
      <c r="U104" t="str">
        <f>IF('Raw File'!Q104&gt;0,'Raw File'!Q104," ")</f>
        <v xml:space="preserve"> </v>
      </c>
      <c r="Y104" t="str">
        <f>IF('Raw File'!C104&gt;0,'Raw File'!C104," ")</f>
        <v xml:space="preserve"> </v>
      </c>
      <c r="Z104" t="str">
        <f>IF('Raw File'!C104&gt;0, "A", " ")</f>
        <v xml:space="preserve"> </v>
      </c>
      <c r="AA104" t="str">
        <f>IF('Raw File'!C104&gt;0, "F", " ")</f>
        <v xml:space="preserve"> </v>
      </c>
      <c r="AB104" t="str">
        <f>IF('Raw File'!H104&gt;0,'Raw File'!H104," ")</f>
        <v xml:space="preserve"> </v>
      </c>
      <c r="AC104" s="11" t="str">
        <f>IF('Raw File'!C104&gt;0,IF(WhatColor('Raw File'!C104)&gt;10,8810,8018)," ")</f>
        <v xml:space="preserve"> </v>
      </c>
      <c r="AD104" s="1" t="str">
        <f>IF('Raw File'!C104&gt;0,'Raw File'!A104," ")</f>
        <v xml:space="preserve"> </v>
      </c>
      <c r="AE104" s="1" t="str">
        <f>IF('Raw File'!C104&gt;0,'Raw File'!A104," ")</f>
        <v xml:space="preserve"> </v>
      </c>
      <c r="AF104" s="1" t="str">
        <f>IF('Raw File'!C104&gt;0,'Raw File'!A104," ")</f>
        <v xml:space="preserve"> </v>
      </c>
      <c r="AG104" t="str">
        <f>IF('Raw File'!C104&gt;0,'Raw File'!C104, " ")</f>
        <v xml:space="preserve"> </v>
      </c>
      <c r="AQ104" t="str">
        <f>IF('Raw File'!G104&gt;0, IF('Raw File'!G104&lt;100, "H", "S"), " ")</f>
        <v xml:space="preserve"> </v>
      </c>
      <c r="AR104" t="str">
        <f>IF('Raw File'!G104&gt;0,'Raw File'!G104," ")</f>
        <v xml:space="preserve"> </v>
      </c>
      <c r="AT104" t="str">
        <f>IF('Raw File'!C104&gt;0,40," ")</f>
        <v xml:space="preserve"> </v>
      </c>
      <c r="AV104" t="str">
        <f>IF('Raw File'!N104= 0, " ", IF('Raw File'!N104="S", "SS", IF( 'Raw File'!N104= "M", "MJ", IF('Raw File'!N104= "H", "H"))))</f>
        <v xml:space="preserve"> </v>
      </c>
      <c r="AW104" s="12"/>
      <c r="AX104" t="str">
        <f>LEFT('Raw File'!P104,1)</f>
        <v/>
      </c>
      <c r="AY104" t="str">
        <f>LEFT('Raw File'!N104,1)</f>
        <v/>
      </c>
      <c r="AZ104">
        <f>IF('Raw File'!O104="exempt",99,IF('Raw File'!O104&gt;0,'Raw File'!O104/2000,IF('Raw File'!O104=0,'Raw File'!O104," ")))</f>
        <v>0</v>
      </c>
      <c r="BA104" t="str">
        <f>LEFT('Raw File'!P104,1)</f>
        <v/>
      </c>
      <c r="BJ104" t="str">
        <f>IF('Raw File'!C104&gt;0,"1"," ")</f>
        <v xml:space="preserve"> </v>
      </c>
      <c r="BX104" t="str">
        <f>IF('Raw File'!C104&gt;0,"WEEKLY"," ")</f>
        <v xml:space="preserve"> </v>
      </c>
      <c r="CA104" t="str">
        <f>IF('Raw File'!C104&gt;0, "N"," ")</f>
        <v xml:space="preserve"> </v>
      </c>
      <c r="CI104" t="str">
        <f>IF('Raw File'!C104&gt;0, "W", " ")</f>
        <v xml:space="preserve"> </v>
      </c>
      <c r="DN104" s="1" t="str">
        <f>IF('Raw File'!C104&gt;0,'Raw File'!A104," ")</f>
        <v xml:space="preserve"> </v>
      </c>
      <c r="GY104">
        <f>IF('Raw File'!O104=" "," ",IF('Raw File'!O104&gt;100,'Raw File'!O104,IF('Raw File'!O104="exempt","99999",IF('Raw File'!O104&lt;100, 'Raw File'!O104*2000, " "))))</f>
        <v>0</v>
      </c>
      <c r="HQ104" t="str">
        <f>IF('Raw File'!C104&gt;0,"1"," ")</f>
        <v xml:space="preserve"> </v>
      </c>
    </row>
    <row r="105" spans="1:225" x14ac:dyDescent="0.35">
      <c r="A105" t="str">
        <f>IF('Raw File'!E105&gt;0,'Raw File'!E105, " ")</f>
        <v xml:space="preserve"> </v>
      </c>
      <c r="B105" t="str">
        <f>IF('Raw File'!D105&gt;0,'Raw File'!D105," ")</f>
        <v xml:space="preserve"> </v>
      </c>
      <c r="C105" t="str">
        <f>IF('Raw File'!F105&gt;0,'Raw File'!F105, " ")</f>
        <v xml:space="preserve"> </v>
      </c>
      <c r="D105" s="1" t="str">
        <f>IF('Raw File'!R105&gt;0,'Raw File'!R105, " ")</f>
        <v xml:space="preserve"> </v>
      </c>
      <c r="E105" t="str">
        <f>IF('Raw File'!C105&gt;0, 296, " ")</f>
        <v xml:space="preserve"> </v>
      </c>
      <c r="F105" s="10" t="str">
        <f>IF('Raw File'!C105&gt;0, "5", " ")</f>
        <v xml:space="preserve"> </v>
      </c>
      <c r="G105" t="str">
        <f>IF('Raw File'!C105&gt;0, "X", " ")</f>
        <v xml:space="preserve"> </v>
      </c>
      <c r="H105" t="str">
        <f>IF('Raw File'!N105="H", "S", LEFT('Raw File'!N105, 1))</f>
        <v/>
      </c>
      <c r="J105" t="str">
        <f>IF('Raw File'!J105&gt;0,'Raw File'!J105," ")</f>
        <v xml:space="preserve"> </v>
      </c>
      <c r="L105" t="str">
        <f>IF('Raw File'!M105&gt;0,'Raw File'!M105," ")</f>
        <v xml:space="preserve"> </v>
      </c>
      <c r="M105" t="str">
        <f>IF('Raw File'!K105&gt;0,'Raw File'!K105," ")</f>
        <v xml:space="preserve"> </v>
      </c>
      <c r="N105" t="str">
        <f>IF('Raw File'!L105&gt;0,'Raw File'!L105," ")</f>
        <v xml:space="preserve"> </v>
      </c>
      <c r="U105" t="str">
        <f>IF('Raw File'!Q105&gt;0,'Raw File'!Q105," ")</f>
        <v xml:space="preserve"> </v>
      </c>
      <c r="Y105" t="str">
        <f>IF('Raw File'!C105&gt;0,'Raw File'!C105," ")</f>
        <v xml:space="preserve"> </v>
      </c>
      <c r="Z105" t="str">
        <f>IF('Raw File'!C105&gt;0, "A", " ")</f>
        <v xml:space="preserve"> </v>
      </c>
      <c r="AA105" t="str">
        <f>IF('Raw File'!C105&gt;0, "F", " ")</f>
        <v xml:space="preserve"> </v>
      </c>
      <c r="AB105" t="str">
        <f>IF('Raw File'!H105&gt;0,'Raw File'!H105," ")</f>
        <v xml:space="preserve"> </v>
      </c>
      <c r="AC105" s="11" t="str">
        <f>IF('Raw File'!C105&gt;0,IF(WhatColor('Raw File'!C105)&gt;10,8810,8018)," ")</f>
        <v xml:space="preserve"> </v>
      </c>
      <c r="AD105" s="1" t="str">
        <f>IF('Raw File'!C105&gt;0,'Raw File'!A105," ")</f>
        <v xml:space="preserve"> </v>
      </c>
      <c r="AE105" s="1" t="str">
        <f>IF('Raw File'!C105&gt;0,'Raw File'!A105," ")</f>
        <v xml:space="preserve"> </v>
      </c>
      <c r="AF105" s="1" t="str">
        <f>IF('Raw File'!C105&gt;0,'Raw File'!A105," ")</f>
        <v xml:space="preserve"> </v>
      </c>
      <c r="AG105" t="str">
        <f>IF('Raw File'!C105&gt;0,'Raw File'!C105, " ")</f>
        <v xml:space="preserve"> </v>
      </c>
      <c r="AQ105" t="str">
        <f>IF('Raw File'!G105&gt;0, IF('Raw File'!G105&lt;100, "H", "S"), " ")</f>
        <v xml:space="preserve"> </v>
      </c>
      <c r="AR105" t="str">
        <f>IF('Raw File'!G105&gt;0,'Raw File'!G105," ")</f>
        <v xml:space="preserve"> </v>
      </c>
      <c r="AT105" t="str">
        <f>IF('Raw File'!C105&gt;0,40," ")</f>
        <v xml:space="preserve"> </v>
      </c>
      <c r="AV105" t="str">
        <f>IF('Raw File'!N105= 0, " ", IF('Raw File'!N105="S", "SS", IF( 'Raw File'!N105= "M", "MJ", IF('Raw File'!N105= "H", "H"))))</f>
        <v xml:space="preserve"> </v>
      </c>
      <c r="AW105" s="12"/>
      <c r="AX105" t="str">
        <f>LEFT('Raw File'!P105,1)</f>
        <v/>
      </c>
      <c r="AY105" t="str">
        <f>LEFT('Raw File'!N105,1)</f>
        <v/>
      </c>
      <c r="AZ105">
        <f>IF('Raw File'!O105="exempt",99,IF('Raw File'!O105&gt;0,'Raw File'!O105/2000,IF('Raw File'!O105=0,'Raw File'!O105," ")))</f>
        <v>0</v>
      </c>
      <c r="BA105" t="str">
        <f>LEFT('Raw File'!P105,1)</f>
        <v/>
      </c>
      <c r="BJ105" t="str">
        <f>IF('Raw File'!C105&gt;0,"1"," ")</f>
        <v xml:space="preserve"> </v>
      </c>
      <c r="BX105" t="str">
        <f>IF('Raw File'!C105&gt;0,"WEEKLY"," ")</f>
        <v xml:space="preserve"> </v>
      </c>
      <c r="CA105" t="str">
        <f>IF('Raw File'!C105&gt;0, "N"," ")</f>
        <v xml:space="preserve"> </v>
      </c>
      <c r="CI105" t="str">
        <f>IF('Raw File'!C105&gt;0, "W", " ")</f>
        <v xml:space="preserve"> </v>
      </c>
      <c r="DN105" s="1" t="str">
        <f>IF('Raw File'!C105&gt;0,'Raw File'!A105," ")</f>
        <v xml:space="preserve"> </v>
      </c>
      <c r="GY105">
        <f>IF('Raw File'!O105=" "," ",IF('Raw File'!O105&gt;100,'Raw File'!O105,IF('Raw File'!O105="exempt","99999",IF('Raw File'!O105&lt;100, 'Raw File'!O105*2000, " "))))</f>
        <v>0</v>
      </c>
      <c r="HQ105" t="str">
        <f>IF('Raw File'!C105&gt;0,"1"," ")</f>
        <v xml:space="preserve"> </v>
      </c>
    </row>
    <row r="106" spans="1:225" x14ac:dyDescent="0.35">
      <c r="A106" t="str">
        <f>IF('Raw File'!E106&gt;0,'Raw File'!E106, " ")</f>
        <v xml:space="preserve"> </v>
      </c>
      <c r="B106" t="str">
        <f>IF('Raw File'!D106&gt;0,'Raw File'!D106," ")</f>
        <v xml:space="preserve"> </v>
      </c>
      <c r="C106" t="str">
        <f>IF('Raw File'!F106&gt;0,'Raw File'!F106, " ")</f>
        <v xml:space="preserve"> </v>
      </c>
      <c r="D106" s="1" t="str">
        <f>IF('Raw File'!R106&gt;0,'Raw File'!R106, " ")</f>
        <v xml:space="preserve"> </v>
      </c>
      <c r="E106" t="str">
        <f>IF('Raw File'!C106&gt;0, 296, " ")</f>
        <v xml:space="preserve"> </v>
      </c>
      <c r="F106" s="10" t="str">
        <f>IF('Raw File'!C106&gt;0, "5", " ")</f>
        <v xml:space="preserve"> </v>
      </c>
      <c r="G106" t="str">
        <f>IF('Raw File'!C106&gt;0, "X", " ")</f>
        <v xml:space="preserve"> </v>
      </c>
      <c r="H106" t="str">
        <f>IF('Raw File'!N106="H", "S", LEFT('Raw File'!N106, 1))</f>
        <v/>
      </c>
      <c r="J106" t="str">
        <f>IF('Raw File'!J106&gt;0,'Raw File'!J106," ")</f>
        <v xml:space="preserve"> </v>
      </c>
      <c r="L106" t="str">
        <f>IF('Raw File'!M106&gt;0,'Raw File'!M106," ")</f>
        <v xml:space="preserve"> </v>
      </c>
      <c r="M106" t="str">
        <f>IF('Raw File'!K106&gt;0,'Raw File'!K106," ")</f>
        <v xml:space="preserve"> </v>
      </c>
      <c r="N106" t="str">
        <f>IF('Raw File'!L106&gt;0,'Raw File'!L106," ")</f>
        <v xml:space="preserve"> </v>
      </c>
      <c r="U106" t="str">
        <f>IF('Raw File'!Q106&gt;0,'Raw File'!Q106," ")</f>
        <v xml:space="preserve"> </v>
      </c>
      <c r="Y106" t="str">
        <f>IF('Raw File'!C106&gt;0,'Raw File'!C106," ")</f>
        <v xml:space="preserve"> </v>
      </c>
      <c r="Z106" t="str">
        <f>IF('Raw File'!C106&gt;0, "A", " ")</f>
        <v xml:space="preserve"> </v>
      </c>
      <c r="AA106" t="str">
        <f>IF('Raw File'!C106&gt;0, "F", " ")</f>
        <v xml:space="preserve"> </v>
      </c>
      <c r="AB106" t="str">
        <f>IF('Raw File'!H106&gt;0,'Raw File'!H106," ")</f>
        <v xml:space="preserve"> </v>
      </c>
      <c r="AC106" s="11" t="str">
        <f>IF('Raw File'!C106&gt;0,IF(WhatColor('Raw File'!C106)&gt;10,8810,8018)," ")</f>
        <v xml:space="preserve"> </v>
      </c>
      <c r="AD106" s="1" t="str">
        <f>IF('Raw File'!C106&gt;0,'Raw File'!A106," ")</f>
        <v xml:space="preserve"> </v>
      </c>
      <c r="AE106" s="1" t="str">
        <f>IF('Raw File'!C106&gt;0,'Raw File'!A106," ")</f>
        <v xml:space="preserve"> </v>
      </c>
      <c r="AF106" s="1" t="str">
        <f>IF('Raw File'!C106&gt;0,'Raw File'!A106," ")</f>
        <v xml:space="preserve"> </v>
      </c>
      <c r="AG106" t="str">
        <f>IF('Raw File'!C106&gt;0,'Raw File'!C106, " ")</f>
        <v xml:space="preserve"> </v>
      </c>
      <c r="AQ106" t="str">
        <f>IF('Raw File'!G106&gt;0, IF('Raw File'!G106&lt;100, "H", "S"), " ")</f>
        <v xml:space="preserve"> </v>
      </c>
      <c r="AR106" t="str">
        <f>IF('Raw File'!G106&gt;0,'Raw File'!G106," ")</f>
        <v xml:space="preserve"> </v>
      </c>
      <c r="AT106" t="str">
        <f>IF('Raw File'!C106&gt;0,40," ")</f>
        <v xml:space="preserve"> </v>
      </c>
      <c r="AV106" t="str">
        <f>IF('Raw File'!N106= 0, " ", IF('Raw File'!N106="S", "SS", IF( 'Raw File'!N106= "M", "MJ", IF('Raw File'!N106= "H", "H"))))</f>
        <v xml:space="preserve"> </v>
      </c>
      <c r="AW106" s="12"/>
      <c r="AX106" t="str">
        <f>LEFT('Raw File'!P106,1)</f>
        <v/>
      </c>
      <c r="AY106" t="str">
        <f>LEFT('Raw File'!N106,1)</f>
        <v/>
      </c>
      <c r="AZ106">
        <f>IF('Raw File'!O106="exempt",99,IF('Raw File'!O106&gt;0,'Raw File'!O106/2000,IF('Raw File'!O106=0,'Raw File'!O106," ")))</f>
        <v>0</v>
      </c>
      <c r="BA106" t="str">
        <f>LEFT('Raw File'!P106,1)</f>
        <v/>
      </c>
      <c r="BJ106" t="str">
        <f>IF('Raw File'!C106&gt;0,"1"," ")</f>
        <v xml:space="preserve"> </v>
      </c>
      <c r="BX106" t="str">
        <f>IF('Raw File'!C106&gt;0,"WEEKLY"," ")</f>
        <v xml:space="preserve"> </v>
      </c>
      <c r="CA106" t="str">
        <f>IF('Raw File'!C106&gt;0, "N"," ")</f>
        <v xml:space="preserve"> </v>
      </c>
      <c r="CI106" t="str">
        <f>IF('Raw File'!C106&gt;0, "W", " ")</f>
        <v xml:space="preserve"> </v>
      </c>
      <c r="DN106" s="1" t="str">
        <f>IF('Raw File'!C106&gt;0,'Raw File'!A106," ")</f>
        <v xml:space="preserve"> </v>
      </c>
      <c r="GY106">
        <f>IF('Raw File'!O106=" "," ",IF('Raw File'!O106&gt;100,'Raw File'!O106,IF('Raw File'!O106="exempt","99999",IF('Raw File'!O106&lt;100, 'Raw File'!O106*2000, " "))))</f>
        <v>0</v>
      </c>
      <c r="HQ106" t="str">
        <f>IF('Raw File'!C106&gt;0,"1"," ")</f>
        <v xml:space="preserve"> </v>
      </c>
    </row>
    <row r="107" spans="1:225" x14ac:dyDescent="0.35">
      <c r="A107" t="str">
        <f>IF('Raw File'!E107&gt;0,'Raw File'!E107, " ")</f>
        <v xml:space="preserve"> </v>
      </c>
      <c r="B107" t="str">
        <f>IF('Raw File'!D107&gt;0,'Raw File'!D107," ")</f>
        <v xml:space="preserve"> </v>
      </c>
      <c r="C107" t="str">
        <f>IF('Raw File'!F107&gt;0,'Raw File'!F107, " ")</f>
        <v xml:space="preserve"> </v>
      </c>
      <c r="D107" s="1" t="str">
        <f>IF('Raw File'!R107&gt;0,'Raw File'!R107, " ")</f>
        <v xml:space="preserve"> </v>
      </c>
      <c r="E107" t="str">
        <f>IF('Raw File'!C107&gt;0, 296, " ")</f>
        <v xml:space="preserve"> </v>
      </c>
      <c r="F107" s="10" t="str">
        <f>IF('Raw File'!C107&gt;0, "5", " ")</f>
        <v xml:space="preserve"> </v>
      </c>
      <c r="G107" t="str">
        <f>IF('Raw File'!C107&gt;0, "X", " ")</f>
        <v xml:space="preserve"> </v>
      </c>
      <c r="H107" t="str">
        <f>IF('Raw File'!N107="H", "S", LEFT('Raw File'!N107, 1))</f>
        <v/>
      </c>
      <c r="J107" t="str">
        <f>IF('Raw File'!J107&gt;0,'Raw File'!J107," ")</f>
        <v xml:space="preserve"> </v>
      </c>
      <c r="L107" t="str">
        <f>IF('Raw File'!M107&gt;0,'Raw File'!M107," ")</f>
        <v xml:space="preserve"> </v>
      </c>
      <c r="M107" t="str">
        <f>IF('Raw File'!K107&gt;0,'Raw File'!K107," ")</f>
        <v xml:space="preserve"> </v>
      </c>
      <c r="N107" t="str">
        <f>IF('Raw File'!L107&gt;0,'Raw File'!L107," ")</f>
        <v xml:space="preserve"> </v>
      </c>
      <c r="U107" t="str">
        <f>IF('Raw File'!Q107&gt;0,'Raw File'!Q107," ")</f>
        <v xml:space="preserve"> </v>
      </c>
      <c r="Y107" t="str">
        <f>IF('Raw File'!C107&gt;0,'Raw File'!C107," ")</f>
        <v xml:space="preserve"> </v>
      </c>
      <c r="Z107" t="str">
        <f>IF('Raw File'!C107&gt;0, "A", " ")</f>
        <v xml:space="preserve"> </v>
      </c>
      <c r="AA107" t="str">
        <f>IF('Raw File'!C107&gt;0, "F", " ")</f>
        <v xml:space="preserve"> </v>
      </c>
      <c r="AB107" t="str">
        <f>IF('Raw File'!H107&gt;0,'Raw File'!H107," ")</f>
        <v xml:space="preserve"> </v>
      </c>
      <c r="AC107" s="11" t="str">
        <f>IF('Raw File'!C107&gt;0,IF(WhatColor('Raw File'!C107)&gt;10,8810,8018)," ")</f>
        <v xml:space="preserve"> </v>
      </c>
      <c r="AD107" s="1" t="str">
        <f>IF('Raw File'!C107&gt;0,'Raw File'!A107," ")</f>
        <v xml:space="preserve"> </v>
      </c>
      <c r="AE107" s="1" t="str">
        <f>IF('Raw File'!C107&gt;0,'Raw File'!A107," ")</f>
        <v xml:space="preserve"> </v>
      </c>
      <c r="AF107" s="1" t="str">
        <f>IF('Raw File'!C107&gt;0,'Raw File'!A107," ")</f>
        <v xml:space="preserve"> </v>
      </c>
      <c r="AG107" t="str">
        <f>IF('Raw File'!C107&gt;0,'Raw File'!C107, " ")</f>
        <v xml:space="preserve"> </v>
      </c>
      <c r="AQ107" t="str">
        <f>IF('Raw File'!G107&gt;0, IF('Raw File'!G107&lt;100, "H", "S"), " ")</f>
        <v xml:space="preserve"> </v>
      </c>
      <c r="AR107" t="str">
        <f>IF('Raw File'!G107&gt;0,'Raw File'!G107," ")</f>
        <v xml:space="preserve"> </v>
      </c>
      <c r="AT107" t="str">
        <f>IF('Raw File'!C107&gt;0,40," ")</f>
        <v xml:space="preserve"> </v>
      </c>
      <c r="AV107" t="str">
        <f>IF('Raw File'!N107= 0, " ", IF('Raw File'!N107="S", "SS", IF( 'Raw File'!N107= "M", "MJ", IF('Raw File'!N107= "H", "H"))))</f>
        <v xml:space="preserve"> </v>
      </c>
      <c r="AW107" s="12"/>
      <c r="AX107" t="str">
        <f>LEFT('Raw File'!P107,1)</f>
        <v/>
      </c>
      <c r="AY107" t="str">
        <f>LEFT('Raw File'!N107,1)</f>
        <v/>
      </c>
      <c r="AZ107">
        <f>IF('Raw File'!O107="exempt",99,IF('Raw File'!O107&gt;0,'Raw File'!O107/2000,IF('Raw File'!O107=0,'Raw File'!O107," ")))</f>
        <v>0</v>
      </c>
      <c r="BA107" t="str">
        <f>LEFT('Raw File'!P107,1)</f>
        <v/>
      </c>
      <c r="BJ107" t="str">
        <f>IF('Raw File'!C107&gt;0,"1"," ")</f>
        <v xml:space="preserve"> </v>
      </c>
      <c r="BX107" t="str">
        <f>IF('Raw File'!C107&gt;0,"WEEKLY"," ")</f>
        <v xml:space="preserve"> </v>
      </c>
      <c r="CA107" t="str">
        <f>IF('Raw File'!C107&gt;0, "N"," ")</f>
        <v xml:space="preserve"> </v>
      </c>
      <c r="CI107" t="str">
        <f>IF('Raw File'!C107&gt;0, "W", " ")</f>
        <v xml:space="preserve"> </v>
      </c>
      <c r="DN107" s="1" t="str">
        <f>IF('Raw File'!C107&gt;0,'Raw File'!A107," ")</f>
        <v xml:space="preserve"> </v>
      </c>
      <c r="GY107">
        <f>IF('Raw File'!O107=" "," ",IF('Raw File'!O107&gt;100,'Raw File'!O107,IF('Raw File'!O107="exempt","99999",IF('Raw File'!O107&lt;100, 'Raw File'!O107*2000, " "))))</f>
        <v>0</v>
      </c>
      <c r="HQ107" t="str">
        <f>IF('Raw File'!C107&gt;0,"1"," ")</f>
        <v xml:space="preserve"> </v>
      </c>
    </row>
    <row r="108" spans="1:225" x14ac:dyDescent="0.35">
      <c r="A108" t="str">
        <f>IF('Raw File'!E108&gt;0,'Raw File'!E108, " ")</f>
        <v xml:space="preserve"> </v>
      </c>
      <c r="B108" t="str">
        <f>IF('Raw File'!D108&gt;0,'Raw File'!D108," ")</f>
        <v xml:space="preserve"> </v>
      </c>
      <c r="C108" t="str">
        <f>IF('Raw File'!F108&gt;0,'Raw File'!F108, " ")</f>
        <v xml:space="preserve"> </v>
      </c>
      <c r="D108" s="1" t="str">
        <f>IF('Raw File'!R108&gt;0,'Raw File'!R108, " ")</f>
        <v xml:space="preserve"> </v>
      </c>
      <c r="E108" t="str">
        <f>IF('Raw File'!C108&gt;0, 296, " ")</f>
        <v xml:space="preserve"> </v>
      </c>
      <c r="F108" s="10" t="str">
        <f>IF('Raw File'!C108&gt;0, "5", " ")</f>
        <v xml:space="preserve"> </v>
      </c>
      <c r="G108" t="str">
        <f>IF('Raw File'!C108&gt;0, "X", " ")</f>
        <v xml:space="preserve"> </v>
      </c>
      <c r="H108" t="str">
        <f>IF('Raw File'!N108="H", "S", LEFT('Raw File'!N108, 1))</f>
        <v/>
      </c>
      <c r="J108" t="str">
        <f>IF('Raw File'!J108&gt;0,'Raw File'!J108," ")</f>
        <v xml:space="preserve"> </v>
      </c>
      <c r="L108" t="str">
        <f>IF('Raw File'!M108&gt;0,'Raw File'!M108," ")</f>
        <v xml:space="preserve"> </v>
      </c>
      <c r="M108" t="str">
        <f>IF('Raw File'!K108&gt;0,'Raw File'!K108," ")</f>
        <v xml:space="preserve"> </v>
      </c>
      <c r="N108" t="str">
        <f>IF('Raw File'!L108&gt;0,'Raw File'!L108," ")</f>
        <v xml:space="preserve"> </v>
      </c>
      <c r="U108" t="str">
        <f>IF('Raw File'!Q108&gt;0,'Raw File'!Q108," ")</f>
        <v xml:space="preserve"> </v>
      </c>
      <c r="Y108" t="str">
        <f>IF('Raw File'!C108&gt;0,'Raw File'!C108," ")</f>
        <v xml:space="preserve"> </v>
      </c>
      <c r="Z108" t="str">
        <f>IF('Raw File'!C108&gt;0, "A", " ")</f>
        <v xml:space="preserve"> </v>
      </c>
      <c r="AA108" t="str">
        <f>IF('Raw File'!C108&gt;0, "F", " ")</f>
        <v xml:space="preserve"> </v>
      </c>
      <c r="AB108" t="str">
        <f>IF('Raw File'!H108&gt;0,'Raw File'!H108," ")</f>
        <v xml:space="preserve"> </v>
      </c>
      <c r="AC108" s="11" t="str">
        <f>IF('Raw File'!C108&gt;0,IF(WhatColor('Raw File'!C108)&gt;10,8810,8018)," ")</f>
        <v xml:space="preserve"> </v>
      </c>
      <c r="AD108" s="1" t="str">
        <f>IF('Raw File'!C108&gt;0,'Raw File'!A108," ")</f>
        <v xml:space="preserve"> </v>
      </c>
      <c r="AE108" s="1" t="str">
        <f>IF('Raw File'!C108&gt;0,'Raw File'!A108," ")</f>
        <v xml:space="preserve"> </v>
      </c>
      <c r="AF108" s="1" t="str">
        <f>IF('Raw File'!C108&gt;0,'Raw File'!A108," ")</f>
        <v xml:space="preserve"> </v>
      </c>
      <c r="AG108" t="str">
        <f>IF('Raw File'!C108&gt;0,'Raw File'!C108, " ")</f>
        <v xml:space="preserve"> </v>
      </c>
      <c r="AQ108" t="str">
        <f>IF('Raw File'!G108&gt;0, IF('Raw File'!G108&lt;100, "H", "S"), " ")</f>
        <v xml:space="preserve"> </v>
      </c>
      <c r="AR108" t="str">
        <f>IF('Raw File'!G108&gt;0,'Raw File'!G108," ")</f>
        <v xml:space="preserve"> </v>
      </c>
      <c r="AT108" t="str">
        <f>IF('Raw File'!C108&gt;0,40," ")</f>
        <v xml:space="preserve"> </v>
      </c>
      <c r="AV108" t="str">
        <f>IF('Raw File'!N108= 0, " ", IF('Raw File'!N108="S", "SS", IF( 'Raw File'!N108= "M", "MJ", IF('Raw File'!N108= "H", "H"))))</f>
        <v xml:space="preserve"> </v>
      </c>
      <c r="AW108" s="12"/>
      <c r="AX108" t="str">
        <f>LEFT('Raw File'!P108,1)</f>
        <v/>
      </c>
      <c r="AY108" t="str">
        <f>LEFT('Raw File'!N108,1)</f>
        <v/>
      </c>
      <c r="AZ108">
        <f>IF('Raw File'!O108="exempt",99,IF('Raw File'!O108&gt;0,'Raw File'!O108/2000,IF('Raw File'!O108=0,'Raw File'!O108," ")))</f>
        <v>0</v>
      </c>
      <c r="BA108" t="str">
        <f>LEFT('Raw File'!P108,1)</f>
        <v/>
      </c>
      <c r="BJ108" t="str">
        <f>IF('Raw File'!C108&gt;0,"1"," ")</f>
        <v xml:space="preserve"> </v>
      </c>
      <c r="BX108" t="str">
        <f>IF('Raw File'!C108&gt;0,"WEEKLY"," ")</f>
        <v xml:space="preserve"> </v>
      </c>
      <c r="CA108" t="str">
        <f>IF('Raw File'!C108&gt;0, "N"," ")</f>
        <v xml:space="preserve"> </v>
      </c>
      <c r="CI108" t="str">
        <f>IF('Raw File'!C108&gt;0, "W", " ")</f>
        <v xml:space="preserve"> </v>
      </c>
      <c r="DN108" s="1" t="str">
        <f>IF('Raw File'!C108&gt;0,'Raw File'!A108," ")</f>
        <v xml:space="preserve"> </v>
      </c>
      <c r="GY108">
        <f>IF('Raw File'!O108=" "," ",IF('Raw File'!O108&gt;100,'Raw File'!O108,IF('Raw File'!O108="exempt","99999",IF('Raw File'!O108&lt;100, 'Raw File'!O108*2000, " "))))</f>
        <v>0</v>
      </c>
      <c r="HQ108" t="str">
        <f>IF('Raw File'!C108&gt;0,"1"," ")</f>
        <v xml:space="preserve"> </v>
      </c>
    </row>
    <row r="109" spans="1:225" x14ac:dyDescent="0.35">
      <c r="A109" t="str">
        <f>IF('Raw File'!E109&gt;0,'Raw File'!E109, " ")</f>
        <v xml:space="preserve"> </v>
      </c>
      <c r="B109" t="str">
        <f>IF('Raw File'!D109&gt;0,'Raw File'!D109," ")</f>
        <v xml:space="preserve"> </v>
      </c>
      <c r="C109" t="str">
        <f>IF('Raw File'!F109&gt;0,'Raw File'!F109, " ")</f>
        <v xml:space="preserve"> </v>
      </c>
      <c r="D109" s="1" t="str">
        <f>IF('Raw File'!R109&gt;0,'Raw File'!R109, " ")</f>
        <v xml:space="preserve"> </v>
      </c>
      <c r="E109" t="str">
        <f>IF('Raw File'!C109&gt;0, 296, " ")</f>
        <v xml:space="preserve"> </v>
      </c>
      <c r="F109" s="10" t="str">
        <f>IF('Raw File'!C109&gt;0, "5", " ")</f>
        <v xml:space="preserve"> </v>
      </c>
      <c r="G109" t="str">
        <f>IF('Raw File'!C109&gt;0, "X", " ")</f>
        <v xml:space="preserve"> </v>
      </c>
      <c r="H109" t="str">
        <f>IF('Raw File'!N109="H", "S", LEFT('Raw File'!N109, 1))</f>
        <v/>
      </c>
      <c r="J109" t="str">
        <f>IF('Raw File'!J109&gt;0,'Raw File'!J109," ")</f>
        <v xml:space="preserve"> </v>
      </c>
      <c r="L109" t="str">
        <f>IF('Raw File'!M109&gt;0,'Raw File'!M109," ")</f>
        <v xml:space="preserve"> </v>
      </c>
      <c r="M109" t="str">
        <f>IF('Raw File'!K109&gt;0,'Raw File'!K109," ")</f>
        <v xml:space="preserve"> </v>
      </c>
      <c r="N109" t="str">
        <f>IF('Raw File'!L109&gt;0,'Raw File'!L109," ")</f>
        <v xml:space="preserve"> </v>
      </c>
      <c r="U109" t="str">
        <f>IF('Raw File'!Q109&gt;0,'Raw File'!Q109," ")</f>
        <v xml:space="preserve"> </v>
      </c>
      <c r="Y109" t="str">
        <f>IF('Raw File'!C109&gt;0,'Raw File'!C109," ")</f>
        <v xml:space="preserve"> </v>
      </c>
      <c r="Z109" t="str">
        <f>IF('Raw File'!C109&gt;0, "A", " ")</f>
        <v xml:space="preserve"> </v>
      </c>
      <c r="AA109" t="str">
        <f>IF('Raw File'!C109&gt;0, "F", " ")</f>
        <v xml:space="preserve"> </v>
      </c>
      <c r="AB109" t="str">
        <f>IF('Raw File'!H109&gt;0,'Raw File'!H109," ")</f>
        <v xml:space="preserve"> </v>
      </c>
      <c r="AC109" s="11" t="str">
        <f>IF('Raw File'!C109&gt;0,IF(WhatColor('Raw File'!C109)&gt;10,8810,8018)," ")</f>
        <v xml:space="preserve"> </v>
      </c>
      <c r="AD109" s="1" t="str">
        <f>IF('Raw File'!C109&gt;0,'Raw File'!A109," ")</f>
        <v xml:space="preserve"> </v>
      </c>
      <c r="AE109" s="1" t="str">
        <f>IF('Raw File'!C109&gt;0,'Raw File'!A109," ")</f>
        <v xml:space="preserve"> </v>
      </c>
      <c r="AF109" s="1" t="str">
        <f>IF('Raw File'!C109&gt;0,'Raw File'!A109," ")</f>
        <v xml:space="preserve"> </v>
      </c>
      <c r="AG109" t="str">
        <f>IF('Raw File'!C109&gt;0,'Raw File'!C109, " ")</f>
        <v xml:space="preserve"> </v>
      </c>
      <c r="AQ109" t="str">
        <f>IF('Raw File'!G109&gt;0, IF('Raw File'!G109&lt;100, "H", "S"), " ")</f>
        <v xml:space="preserve"> </v>
      </c>
      <c r="AR109" t="str">
        <f>IF('Raw File'!G109&gt;0,'Raw File'!G109," ")</f>
        <v xml:space="preserve"> </v>
      </c>
      <c r="AT109" t="str">
        <f>IF('Raw File'!C109&gt;0,40," ")</f>
        <v xml:space="preserve"> </v>
      </c>
      <c r="AV109" t="str">
        <f>IF('Raw File'!N109= 0, " ", IF('Raw File'!N109="S", "SS", IF( 'Raw File'!N109= "M", "MJ", IF('Raw File'!N109= "H", "H"))))</f>
        <v xml:space="preserve"> </v>
      </c>
      <c r="AW109" s="12"/>
      <c r="AX109" t="str">
        <f>LEFT('Raw File'!P109,1)</f>
        <v/>
      </c>
      <c r="AY109" t="str">
        <f>LEFT('Raw File'!N109,1)</f>
        <v/>
      </c>
      <c r="AZ109">
        <f>IF('Raw File'!O109="exempt",99,IF('Raw File'!O109&gt;0,'Raw File'!O109/2000,IF('Raw File'!O109=0,'Raw File'!O109," ")))</f>
        <v>0</v>
      </c>
      <c r="BA109" t="str">
        <f>LEFT('Raw File'!P109,1)</f>
        <v/>
      </c>
      <c r="BJ109" t="str">
        <f>IF('Raw File'!C109&gt;0,"1"," ")</f>
        <v xml:space="preserve"> </v>
      </c>
      <c r="BX109" t="str">
        <f>IF('Raw File'!C109&gt;0,"WEEKLY"," ")</f>
        <v xml:space="preserve"> </v>
      </c>
      <c r="CA109" t="str">
        <f>IF('Raw File'!C109&gt;0, "N"," ")</f>
        <v xml:space="preserve"> </v>
      </c>
      <c r="CI109" t="str">
        <f>IF('Raw File'!C109&gt;0, "W", " ")</f>
        <v xml:space="preserve"> </v>
      </c>
      <c r="DN109" s="1" t="str">
        <f>IF('Raw File'!C109&gt;0,'Raw File'!A109," ")</f>
        <v xml:space="preserve"> </v>
      </c>
      <c r="GY109">
        <f>IF('Raw File'!O109=" "," ",IF('Raw File'!O109&gt;100,'Raw File'!O109,IF('Raw File'!O109="exempt","99999",IF('Raw File'!O109&lt;100, 'Raw File'!O109*2000, " "))))</f>
        <v>0</v>
      </c>
      <c r="HQ109" t="str">
        <f>IF('Raw File'!C109&gt;0,"1"," ")</f>
        <v xml:space="preserve"> </v>
      </c>
    </row>
    <row r="110" spans="1:225" x14ac:dyDescent="0.35">
      <c r="A110" t="str">
        <f>IF('Raw File'!E110&gt;0,'Raw File'!E110, " ")</f>
        <v xml:space="preserve"> </v>
      </c>
      <c r="B110" t="str">
        <f>IF('Raw File'!D110&gt;0,'Raw File'!D110," ")</f>
        <v xml:space="preserve"> </v>
      </c>
      <c r="C110" t="str">
        <f>IF('Raw File'!F110&gt;0,'Raw File'!F110, " ")</f>
        <v xml:space="preserve"> </v>
      </c>
      <c r="D110" s="1" t="str">
        <f>IF('Raw File'!R110&gt;0,'Raw File'!R110, " ")</f>
        <v xml:space="preserve"> </v>
      </c>
      <c r="E110" t="str">
        <f>IF('Raw File'!C110&gt;0, 296, " ")</f>
        <v xml:space="preserve"> </v>
      </c>
      <c r="F110" s="10" t="str">
        <f>IF('Raw File'!C110&gt;0, "5", " ")</f>
        <v xml:space="preserve"> </v>
      </c>
      <c r="G110" t="str">
        <f>IF('Raw File'!C110&gt;0, "X", " ")</f>
        <v xml:space="preserve"> </v>
      </c>
      <c r="H110" t="str">
        <f>IF('Raw File'!N110="H", "S", LEFT('Raw File'!N110, 1))</f>
        <v/>
      </c>
      <c r="J110" t="str">
        <f>IF('Raw File'!J110&gt;0,'Raw File'!J110," ")</f>
        <v xml:space="preserve"> </v>
      </c>
      <c r="L110" t="str">
        <f>IF('Raw File'!M110&gt;0,'Raw File'!M110," ")</f>
        <v xml:space="preserve"> </v>
      </c>
      <c r="M110" t="str">
        <f>IF('Raw File'!K110&gt;0,'Raw File'!K110," ")</f>
        <v xml:space="preserve"> </v>
      </c>
      <c r="N110" t="str">
        <f>IF('Raw File'!L110&gt;0,'Raw File'!L110," ")</f>
        <v xml:space="preserve"> </v>
      </c>
      <c r="U110" t="str">
        <f>IF('Raw File'!Q110&gt;0,'Raw File'!Q110," ")</f>
        <v xml:space="preserve"> </v>
      </c>
      <c r="Y110" t="str">
        <f>IF('Raw File'!C110&gt;0,'Raw File'!C110," ")</f>
        <v xml:space="preserve"> </v>
      </c>
      <c r="Z110" t="str">
        <f>IF('Raw File'!C110&gt;0, "A", " ")</f>
        <v xml:space="preserve"> </v>
      </c>
      <c r="AA110" t="str">
        <f>IF('Raw File'!C110&gt;0, "F", " ")</f>
        <v xml:space="preserve"> </v>
      </c>
      <c r="AB110" t="str">
        <f>IF('Raw File'!H110&gt;0,'Raw File'!H110," ")</f>
        <v xml:space="preserve"> </v>
      </c>
      <c r="AC110" s="11" t="str">
        <f>IF('Raw File'!C110&gt;0,IF(WhatColor('Raw File'!C110)&gt;10,8810,8018)," ")</f>
        <v xml:space="preserve"> </v>
      </c>
      <c r="AD110" s="1" t="str">
        <f>IF('Raw File'!C110&gt;0,'Raw File'!A110," ")</f>
        <v xml:space="preserve"> </v>
      </c>
      <c r="AE110" s="1" t="str">
        <f>IF('Raw File'!C110&gt;0,'Raw File'!A110," ")</f>
        <v xml:space="preserve"> </v>
      </c>
      <c r="AF110" s="1" t="str">
        <f>IF('Raw File'!C110&gt;0,'Raw File'!A110," ")</f>
        <v xml:space="preserve"> </v>
      </c>
      <c r="AG110" t="str">
        <f>IF('Raw File'!C110&gt;0,'Raw File'!C110, " ")</f>
        <v xml:space="preserve"> </v>
      </c>
      <c r="AQ110" t="str">
        <f>IF('Raw File'!G110&gt;0, IF('Raw File'!G110&lt;100, "H", "S"), " ")</f>
        <v xml:space="preserve"> </v>
      </c>
      <c r="AR110" t="str">
        <f>IF('Raw File'!G110&gt;0,'Raw File'!G110," ")</f>
        <v xml:space="preserve"> </v>
      </c>
      <c r="AT110" t="str">
        <f>IF('Raw File'!C110&gt;0,40," ")</f>
        <v xml:space="preserve"> </v>
      </c>
      <c r="AV110" t="str">
        <f>IF('Raw File'!N110= 0, " ", IF('Raw File'!N110="S", "SS", IF( 'Raw File'!N110= "M", "MJ", IF('Raw File'!N110= "H", "H"))))</f>
        <v xml:space="preserve"> </v>
      </c>
      <c r="AW110" s="12"/>
      <c r="AX110" t="str">
        <f>LEFT('Raw File'!P110,1)</f>
        <v/>
      </c>
      <c r="AY110" t="str">
        <f>LEFT('Raw File'!N110,1)</f>
        <v/>
      </c>
      <c r="AZ110">
        <f>IF('Raw File'!O110="exempt",99,IF('Raw File'!O110&gt;0,'Raw File'!O110/2000,IF('Raw File'!O110=0,'Raw File'!O110," ")))</f>
        <v>0</v>
      </c>
      <c r="BA110" t="str">
        <f>LEFT('Raw File'!P110,1)</f>
        <v/>
      </c>
      <c r="BJ110" t="str">
        <f>IF('Raw File'!C110&gt;0,"1"," ")</f>
        <v xml:space="preserve"> </v>
      </c>
      <c r="BX110" t="str">
        <f>IF('Raw File'!C110&gt;0,"WEEKLY"," ")</f>
        <v xml:space="preserve"> </v>
      </c>
      <c r="CA110" t="str">
        <f>IF('Raw File'!C110&gt;0, "N"," ")</f>
        <v xml:space="preserve"> </v>
      </c>
      <c r="CI110" t="str">
        <f>IF('Raw File'!C110&gt;0, "W", " ")</f>
        <v xml:space="preserve"> </v>
      </c>
      <c r="DN110" s="1" t="str">
        <f>IF('Raw File'!C110&gt;0,'Raw File'!A110," ")</f>
        <v xml:space="preserve"> </v>
      </c>
      <c r="GY110">
        <f>IF('Raw File'!O110=" "," ",IF('Raw File'!O110&gt;100,'Raw File'!O110,IF('Raw File'!O110="exempt","99999",IF('Raw File'!O110&lt;100, 'Raw File'!O110*2000, " "))))</f>
        <v>0</v>
      </c>
      <c r="HQ110" t="str">
        <f>IF('Raw File'!C110&gt;0,"1"," ")</f>
        <v xml:space="preserve"> </v>
      </c>
    </row>
    <row r="111" spans="1:225" x14ac:dyDescent="0.35">
      <c r="A111" t="str">
        <f>IF('Raw File'!E111&gt;0,'Raw File'!E111, " ")</f>
        <v xml:space="preserve"> </v>
      </c>
      <c r="B111" t="str">
        <f>IF('Raw File'!D111&gt;0,'Raw File'!D111," ")</f>
        <v xml:space="preserve"> </v>
      </c>
      <c r="C111" t="str">
        <f>IF('Raw File'!F111&gt;0,'Raw File'!F111, " ")</f>
        <v xml:space="preserve"> </v>
      </c>
      <c r="D111" s="1" t="str">
        <f>IF('Raw File'!R111&gt;0,'Raw File'!R111, " ")</f>
        <v xml:space="preserve"> </v>
      </c>
      <c r="E111" t="str">
        <f>IF('Raw File'!C111&gt;0, 296, " ")</f>
        <v xml:space="preserve"> </v>
      </c>
      <c r="F111" s="10" t="str">
        <f>IF('Raw File'!C111&gt;0, "5", " ")</f>
        <v xml:space="preserve"> </v>
      </c>
      <c r="G111" t="str">
        <f>IF('Raw File'!C111&gt;0, "X", " ")</f>
        <v xml:space="preserve"> </v>
      </c>
      <c r="H111" t="str">
        <f>IF('Raw File'!N111="H", "S", LEFT('Raw File'!N111, 1))</f>
        <v/>
      </c>
      <c r="J111" t="str">
        <f>IF('Raw File'!J111&gt;0,'Raw File'!J111," ")</f>
        <v xml:space="preserve"> </v>
      </c>
      <c r="L111" t="str">
        <f>IF('Raw File'!M111&gt;0,'Raw File'!M111," ")</f>
        <v xml:space="preserve"> </v>
      </c>
      <c r="M111" t="str">
        <f>IF('Raw File'!K111&gt;0,'Raw File'!K111," ")</f>
        <v xml:space="preserve"> </v>
      </c>
      <c r="N111" t="str">
        <f>IF('Raw File'!L111&gt;0,'Raw File'!L111," ")</f>
        <v xml:space="preserve"> </v>
      </c>
      <c r="U111" t="str">
        <f>IF('Raw File'!Q111&gt;0,'Raw File'!Q111," ")</f>
        <v xml:space="preserve"> </v>
      </c>
      <c r="Y111" t="str">
        <f>IF('Raw File'!C111&gt;0,'Raw File'!C111," ")</f>
        <v xml:space="preserve"> </v>
      </c>
      <c r="Z111" t="str">
        <f>IF('Raw File'!C111&gt;0, "A", " ")</f>
        <v xml:space="preserve"> </v>
      </c>
      <c r="AA111" t="str">
        <f>IF('Raw File'!C111&gt;0, "F", " ")</f>
        <v xml:space="preserve"> </v>
      </c>
      <c r="AB111" t="str">
        <f>IF('Raw File'!H111&gt;0,'Raw File'!H111," ")</f>
        <v xml:space="preserve"> </v>
      </c>
      <c r="AC111" s="11" t="str">
        <f>IF('Raw File'!C111&gt;0,IF(WhatColor('Raw File'!C111)&gt;10,8810,8018)," ")</f>
        <v xml:space="preserve"> </v>
      </c>
      <c r="AD111" s="1" t="str">
        <f>IF('Raw File'!C111&gt;0,'Raw File'!A111," ")</f>
        <v xml:space="preserve"> </v>
      </c>
      <c r="AE111" s="1" t="str">
        <f>IF('Raw File'!C111&gt;0,'Raw File'!A111," ")</f>
        <v xml:space="preserve"> </v>
      </c>
      <c r="AF111" s="1" t="str">
        <f>IF('Raw File'!C111&gt;0,'Raw File'!A111," ")</f>
        <v xml:space="preserve"> </v>
      </c>
      <c r="AG111" t="str">
        <f>IF('Raw File'!C111&gt;0,'Raw File'!C111, " ")</f>
        <v xml:space="preserve"> </v>
      </c>
      <c r="AQ111" t="str">
        <f>IF('Raw File'!G111&gt;0, IF('Raw File'!G111&lt;100, "H", "S"), " ")</f>
        <v xml:space="preserve"> </v>
      </c>
      <c r="AR111" t="str">
        <f>IF('Raw File'!G111&gt;0,'Raw File'!G111," ")</f>
        <v xml:space="preserve"> </v>
      </c>
      <c r="AT111" t="str">
        <f>IF('Raw File'!C111&gt;0,40," ")</f>
        <v xml:space="preserve"> </v>
      </c>
      <c r="AV111" t="str">
        <f>IF('Raw File'!N111= 0, " ", IF('Raw File'!N111="S", "SS", IF( 'Raw File'!N111= "M", "MJ", IF('Raw File'!N111= "H", "H"))))</f>
        <v xml:space="preserve"> </v>
      </c>
      <c r="AW111" s="12"/>
      <c r="AX111" t="str">
        <f>LEFT('Raw File'!P111,1)</f>
        <v/>
      </c>
      <c r="AY111" t="str">
        <f>LEFT('Raw File'!N111,1)</f>
        <v/>
      </c>
      <c r="AZ111">
        <f>IF('Raw File'!O111="exempt",99,IF('Raw File'!O111&gt;0,'Raw File'!O111/2000,IF('Raw File'!O111=0,'Raw File'!O111," ")))</f>
        <v>0</v>
      </c>
      <c r="BA111" t="str">
        <f>LEFT('Raw File'!P111,1)</f>
        <v/>
      </c>
      <c r="BJ111" t="str">
        <f>IF('Raw File'!C111&gt;0,"1"," ")</f>
        <v xml:space="preserve"> </v>
      </c>
      <c r="BX111" t="str">
        <f>IF('Raw File'!C111&gt;0,"WEEKLY"," ")</f>
        <v xml:space="preserve"> </v>
      </c>
      <c r="CA111" t="str">
        <f>IF('Raw File'!C111&gt;0, "N"," ")</f>
        <v xml:space="preserve"> </v>
      </c>
      <c r="CI111" t="str">
        <f>IF('Raw File'!C111&gt;0, "W", " ")</f>
        <v xml:space="preserve"> </v>
      </c>
      <c r="DN111" s="1" t="str">
        <f>IF('Raw File'!C111&gt;0,'Raw File'!A111," ")</f>
        <v xml:space="preserve"> </v>
      </c>
      <c r="GY111">
        <f>IF('Raw File'!O111=" "," ",IF('Raw File'!O111&gt;100,'Raw File'!O111,IF('Raw File'!O111="exempt","99999",IF('Raw File'!O111&lt;100, 'Raw File'!O111*2000, " "))))</f>
        <v>0</v>
      </c>
      <c r="HQ111" t="str">
        <f>IF('Raw File'!C111&gt;0,"1"," ")</f>
        <v xml:space="preserve"> </v>
      </c>
    </row>
    <row r="112" spans="1:225" x14ac:dyDescent="0.35">
      <c r="A112" t="str">
        <f>IF('Raw File'!E112&gt;0,'Raw File'!E112, " ")</f>
        <v xml:space="preserve"> </v>
      </c>
      <c r="B112" t="str">
        <f>IF('Raw File'!D112&gt;0,'Raw File'!D112," ")</f>
        <v xml:space="preserve"> </v>
      </c>
      <c r="C112" t="str">
        <f>IF('Raw File'!F112&gt;0,'Raw File'!F112, " ")</f>
        <v xml:space="preserve"> </v>
      </c>
      <c r="D112" s="1" t="str">
        <f>IF('Raw File'!R112&gt;0,'Raw File'!R112, " ")</f>
        <v xml:space="preserve"> </v>
      </c>
      <c r="E112" t="str">
        <f>IF('Raw File'!C112&gt;0, 296, " ")</f>
        <v xml:space="preserve"> </v>
      </c>
      <c r="F112" s="10" t="str">
        <f>IF('Raw File'!C112&gt;0, "5", " ")</f>
        <v xml:space="preserve"> </v>
      </c>
      <c r="G112" t="str">
        <f>IF('Raw File'!C112&gt;0, "X", " ")</f>
        <v xml:space="preserve"> </v>
      </c>
      <c r="H112" t="str">
        <f>IF('Raw File'!N112="H", "S", LEFT('Raw File'!N112, 1))</f>
        <v/>
      </c>
      <c r="J112" t="str">
        <f>IF('Raw File'!J112&gt;0,'Raw File'!J112," ")</f>
        <v xml:space="preserve"> </v>
      </c>
      <c r="L112" t="str">
        <f>IF('Raw File'!M112&gt;0,'Raw File'!M112," ")</f>
        <v xml:space="preserve"> </v>
      </c>
      <c r="M112" t="str">
        <f>IF('Raw File'!K112&gt;0,'Raw File'!K112," ")</f>
        <v xml:space="preserve"> </v>
      </c>
      <c r="N112" t="str">
        <f>IF('Raw File'!L112&gt;0,'Raw File'!L112," ")</f>
        <v xml:space="preserve"> </v>
      </c>
      <c r="U112" t="str">
        <f>IF('Raw File'!Q112&gt;0,'Raw File'!Q112," ")</f>
        <v xml:space="preserve"> </v>
      </c>
      <c r="Y112" t="str">
        <f>IF('Raw File'!C112&gt;0,'Raw File'!C112," ")</f>
        <v xml:space="preserve"> </v>
      </c>
      <c r="Z112" t="str">
        <f>IF('Raw File'!C112&gt;0, "A", " ")</f>
        <v xml:space="preserve"> </v>
      </c>
      <c r="AA112" t="str">
        <f>IF('Raw File'!C112&gt;0, "F", " ")</f>
        <v xml:space="preserve"> </v>
      </c>
      <c r="AB112" t="str">
        <f>IF('Raw File'!H112&gt;0,'Raw File'!H112," ")</f>
        <v xml:space="preserve"> </v>
      </c>
      <c r="AC112" s="11" t="str">
        <f>IF('Raw File'!C112&gt;0,IF(WhatColor('Raw File'!C112)&gt;10,8810,8018)," ")</f>
        <v xml:space="preserve"> </v>
      </c>
      <c r="AD112" s="1" t="str">
        <f>IF('Raw File'!C112&gt;0,'Raw File'!A112," ")</f>
        <v xml:space="preserve"> </v>
      </c>
      <c r="AE112" s="1" t="str">
        <f>IF('Raw File'!C112&gt;0,'Raw File'!A112," ")</f>
        <v xml:space="preserve"> </v>
      </c>
      <c r="AF112" s="1" t="str">
        <f>IF('Raw File'!C112&gt;0,'Raw File'!A112," ")</f>
        <v xml:space="preserve"> </v>
      </c>
      <c r="AG112" t="str">
        <f>IF('Raw File'!C112&gt;0,'Raw File'!C112, " ")</f>
        <v xml:space="preserve"> </v>
      </c>
      <c r="AQ112" t="str">
        <f>IF('Raw File'!G112&gt;0, IF('Raw File'!G112&lt;100, "H", "S"), " ")</f>
        <v xml:space="preserve"> </v>
      </c>
      <c r="AR112" t="str">
        <f>IF('Raw File'!G112&gt;0,'Raw File'!G112," ")</f>
        <v xml:space="preserve"> </v>
      </c>
      <c r="AT112" t="str">
        <f>IF('Raw File'!C112&gt;0,40," ")</f>
        <v xml:space="preserve"> </v>
      </c>
      <c r="AV112" t="str">
        <f>IF('Raw File'!N112= 0, " ", IF('Raw File'!N112="S", "SS", IF( 'Raw File'!N112= "M", "MJ", IF('Raw File'!N112= "H", "H"))))</f>
        <v xml:space="preserve"> </v>
      </c>
      <c r="AW112" s="12"/>
      <c r="AX112" t="str">
        <f>LEFT('Raw File'!P112,1)</f>
        <v/>
      </c>
      <c r="AY112" t="str">
        <f>LEFT('Raw File'!N112,1)</f>
        <v/>
      </c>
      <c r="AZ112">
        <f>IF('Raw File'!O112="exempt",99,IF('Raw File'!O112&gt;0,'Raw File'!O112/2000,IF('Raw File'!O112=0,'Raw File'!O112," ")))</f>
        <v>0</v>
      </c>
      <c r="BA112" t="str">
        <f>LEFT('Raw File'!P112,1)</f>
        <v/>
      </c>
      <c r="BJ112" t="str">
        <f>IF('Raw File'!C112&gt;0,"1"," ")</f>
        <v xml:space="preserve"> </v>
      </c>
      <c r="BX112" t="str">
        <f>IF('Raw File'!C112&gt;0,"WEEKLY"," ")</f>
        <v xml:space="preserve"> </v>
      </c>
      <c r="CA112" t="str">
        <f>IF('Raw File'!C112&gt;0, "N"," ")</f>
        <v xml:space="preserve"> </v>
      </c>
      <c r="CI112" t="str">
        <f>IF('Raw File'!C112&gt;0, "W", " ")</f>
        <v xml:space="preserve"> </v>
      </c>
      <c r="DN112" s="1" t="str">
        <f>IF('Raw File'!C112&gt;0,'Raw File'!A112," ")</f>
        <v xml:space="preserve"> </v>
      </c>
      <c r="GY112">
        <f>IF('Raw File'!O112=" "," ",IF('Raw File'!O112&gt;100,'Raw File'!O112,IF('Raw File'!O112="exempt","99999",IF('Raw File'!O112&lt;100, 'Raw File'!O112*2000, " "))))</f>
        <v>0</v>
      </c>
      <c r="HQ112" t="str">
        <f>IF('Raw File'!C112&gt;0,"1"," ")</f>
        <v xml:space="preserve"> </v>
      </c>
    </row>
    <row r="113" spans="1:225" x14ac:dyDescent="0.35">
      <c r="A113" t="str">
        <f>IF('Raw File'!E113&gt;0,'Raw File'!E113, " ")</f>
        <v xml:space="preserve"> </v>
      </c>
      <c r="B113" t="str">
        <f>IF('Raw File'!D113&gt;0,'Raw File'!D113," ")</f>
        <v xml:space="preserve"> </v>
      </c>
      <c r="C113" t="str">
        <f>IF('Raw File'!F113&gt;0,'Raw File'!F113, " ")</f>
        <v xml:space="preserve"> </v>
      </c>
      <c r="D113" s="1" t="str">
        <f>IF('Raw File'!R113&gt;0,'Raw File'!R113, " ")</f>
        <v xml:space="preserve"> </v>
      </c>
      <c r="E113" t="str">
        <f>IF('Raw File'!C113&gt;0, 296, " ")</f>
        <v xml:space="preserve"> </v>
      </c>
      <c r="F113" s="10" t="str">
        <f>IF('Raw File'!C113&gt;0, "5", " ")</f>
        <v xml:space="preserve"> </v>
      </c>
      <c r="G113" t="str">
        <f>IF('Raw File'!C113&gt;0, "X", " ")</f>
        <v xml:space="preserve"> </v>
      </c>
      <c r="H113" t="str">
        <f>IF('Raw File'!N113="H", "S", LEFT('Raw File'!N113, 1))</f>
        <v/>
      </c>
      <c r="J113" t="str">
        <f>IF('Raw File'!J113&gt;0,'Raw File'!J113," ")</f>
        <v xml:space="preserve"> </v>
      </c>
      <c r="L113" t="str">
        <f>IF('Raw File'!M113&gt;0,'Raw File'!M113," ")</f>
        <v xml:space="preserve"> </v>
      </c>
      <c r="M113" t="str">
        <f>IF('Raw File'!K113&gt;0,'Raw File'!K113," ")</f>
        <v xml:space="preserve"> </v>
      </c>
      <c r="N113" t="str">
        <f>IF('Raw File'!L113&gt;0,'Raw File'!L113," ")</f>
        <v xml:space="preserve"> </v>
      </c>
      <c r="U113" t="str">
        <f>IF('Raw File'!Q113&gt;0,'Raw File'!Q113," ")</f>
        <v xml:space="preserve"> </v>
      </c>
      <c r="Y113" t="str">
        <f>IF('Raw File'!C113&gt;0,'Raw File'!C113," ")</f>
        <v xml:space="preserve"> </v>
      </c>
      <c r="Z113" t="str">
        <f>IF('Raw File'!C113&gt;0, "A", " ")</f>
        <v xml:space="preserve"> </v>
      </c>
      <c r="AA113" t="str">
        <f>IF('Raw File'!C113&gt;0, "F", " ")</f>
        <v xml:space="preserve"> </v>
      </c>
      <c r="AB113" t="str">
        <f>IF('Raw File'!H113&gt;0,'Raw File'!H113," ")</f>
        <v xml:space="preserve"> </v>
      </c>
      <c r="AC113" s="11" t="str">
        <f>IF('Raw File'!C113&gt;0,IF(WhatColor('Raw File'!C113)&gt;10,8810,8018)," ")</f>
        <v xml:space="preserve"> </v>
      </c>
      <c r="AD113" s="1" t="str">
        <f>IF('Raw File'!C113&gt;0,'Raw File'!A113," ")</f>
        <v xml:space="preserve"> </v>
      </c>
      <c r="AE113" s="1" t="str">
        <f>IF('Raw File'!C113&gt;0,'Raw File'!A113," ")</f>
        <v xml:space="preserve"> </v>
      </c>
      <c r="AF113" s="1" t="str">
        <f>IF('Raw File'!C113&gt;0,'Raw File'!A113," ")</f>
        <v xml:space="preserve"> </v>
      </c>
      <c r="AG113" t="str">
        <f>IF('Raw File'!C113&gt;0,'Raw File'!C113, " ")</f>
        <v xml:space="preserve"> </v>
      </c>
      <c r="AQ113" t="str">
        <f>IF('Raw File'!G113&gt;0, IF('Raw File'!G113&lt;100, "H", "S"), " ")</f>
        <v xml:space="preserve"> </v>
      </c>
      <c r="AR113" t="str">
        <f>IF('Raw File'!G113&gt;0,'Raw File'!G113," ")</f>
        <v xml:space="preserve"> </v>
      </c>
      <c r="AT113" t="str">
        <f>IF('Raw File'!C113&gt;0,40," ")</f>
        <v xml:space="preserve"> </v>
      </c>
      <c r="AV113" t="str">
        <f>IF('Raw File'!N113= 0, " ", IF('Raw File'!N113="S", "SS", IF( 'Raw File'!N113= "M", "MJ", IF('Raw File'!N113= "H", "H"))))</f>
        <v xml:space="preserve"> </v>
      </c>
      <c r="AW113" s="12"/>
      <c r="AX113" t="str">
        <f>LEFT('Raw File'!P113,1)</f>
        <v/>
      </c>
      <c r="AY113" t="str">
        <f>LEFT('Raw File'!N113,1)</f>
        <v/>
      </c>
      <c r="AZ113">
        <f>IF('Raw File'!O113="exempt",99,IF('Raw File'!O113&gt;0,'Raw File'!O113/2000,IF('Raw File'!O113=0,'Raw File'!O113," ")))</f>
        <v>0</v>
      </c>
      <c r="BA113" t="str">
        <f>LEFT('Raw File'!P113,1)</f>
        <v/>
      </c>
      <c r="BJ113" t="str">
        <f>IF('Raw File'!C113&gt;0,"1"," ")</f>
        <v xml:space="preserve"> </v>
      </c>
      <c r="BX113" t="str">
        <f>IF('Raw File'!C113&gt;0,"WEEKLY"," ")</f>
        <v xml:space="preserve"> </v>
      </c>
      <c r="CA113" t="str">
        <f>IF('Raw File'!C113&gt;0, "N"," ")</f>
        <v xml:space="preserve"> </v>
      </c>
      <c r="CI113" t="str">
        <f>IF('Raw File'!C113&gt;0, "W", " ")</f>
        <v xml:space="preserve"> </v>
      </c>
      <c r="DN113" s="1" t="str">
        <f>IF('Raw File'!C113&gt;0,'Raw File'!A113," ")</f>
        <v xml:space="preserve"> </v>
      </c>
      <c r="GY113">
        <f>IF('Raw File'!O113=" "," ",IF('Raw File'!O113&gt;100,'Raw File'!O113,IF('Raw File'!O113="exempt","99999",IF('Raw File'!O113&lt;100, 'Raw File'!O113*2000, " "))))</f>
        <v>0</v>
      </c>
      <c r="HQ113" t="str">
        <f>IF('Raw File'!C113&gt;0,"1"," ")</f>
        <v xml:space="preserve"> </v>
      </c>
    </row>
    <row r="114" spans="1:225" x14ac:dyDescent="0.35">
      <c r="A114" t="str">
        <f>IF('Raw File'!E114&gt;0,'Raw File'!E114, " ")</f>
        <v xml:space="preserve"> </v>
      </c>
      <c r="B114" t="str">
        <f>IF('Raw File'!D114&gt;0,'Raw File'!D114," ")</f>
        <v xml:space="preserve"> </v>
      </c>
      <c r="C114" t="str">
        <f>IF('Raw File'!F114&gt;0,'Raw File'!F114, " ")</f>
        <v xml:space="preserve"> </v>
      </c>
      <c r="D114" s="1" t="str">
        <f>IF('Raw File'!R114&gt;0,'Raw File'!R114, " ")</f>
        <v xml:space="preserve"> </v>
      </c>
      <c r="E114" t="str">
        <f>IF('Raw File'!C114&gt;0, 296, " ")</f>
        <v xml:space="preserve"> </v>
      </c>
      <c r="F114" s="10" t="str">
        <f>IF('Raw File'!C114&gt;0, "5", " ")</f>
        <v xml:space="preserve"> </v>
      </c>
      <c r="G114" t="str">
        <f>IF('Raw File'!C114&gt;0, "X", " ")</f>
        <v xml:space="preserve"> </v>
      </c>
      <c r="H114" t="str">
        <f>IF('Raw File'!N114="H", "S", LEFT('Raw File'!N114, 1))</f>
        <v/>
      </c>
      <c r="J114" t="str">
        <f>IF('Raw File'!J114&gt;0,'Raw File'!J114," ")</f>
        <v xml:space="preserve"> </v>
      </c>
      <c r="L114" t="str">
        <f>IF('Raw File'!M114&gt;0,'Raw File'!M114," ")</f>
        <v xml:space="preserve"> </v>
      </c>
      <c r="M114" t="str">
        <f>IF('Raw File'!K114&gt;0,'Raw File'!K114," ")</f>
        <v xml:space="preserve"> </v>
      </c>
      <c r="N114" t="str">
        <f>IF('Raw File'!L114&gt;0,'Raw File'!L114," ")</f>
        <v xml:space="preserve"> </v>
      </c>
      <c r="U114" t="str">
        <f>IF('Raw File'!Q114&gt;0,'Raw File'!Q114," ")</f>
        <v xml:space="preserve"> </v>
      </c>
      <c r="Y114" t="str">
        <f>IF('Raw File'!C114&gt;0,'Raw File'!C114," ")</f>
        <v xml:space="preserve"> </v>
      </c>
      <c r="Z114" t="str">
        <f>IF('Raw File'!C114&gt;0, "A", " ")</f>
        <v xml:space="preserve"> </v>
      </c>
      <c r="AA114" t="str">
        <f>IF('Raw File'!C114&gt;0, "F", " ")</f>
        <v xml:space="preserve"> </v>
      </c>
      <c r="AB114" t="str">
        <f>IF('Raw File'!H114&gt;0,'Raw File'!H114," ")</f>
        <v xml:space="preserve"> </v>
      </c>
      <c r="AC114" s="11" t="str">
        <f>IF('Raw File'!C114&gt;0,IF(WhatColor('Raw File'!C114)&gt;10,8810,8018)," ")</f>
        <v xml:space="preserve"> </v>
      </c>
      <c r="AD114" s="1" t="str">
        <f>IF('Raw File'!C114&gt;0,'Raw File'!A114," ")</f>
        <v xml:space="preserve"> </v>
      </c>
      <c r="AE114" s="1" t="str">
        <f>IF('Raw File'!C114&gt;0,'Raw File'!A114," ")</f>
        <v xml:space="preserve"> </v>
      </c>
      <c r="AF114" s="1" t="str">
        <f>IF('Raw File'!C114&gt;0,'Raw File'!A114," ")</f>
        <v xml:space="preserve"> </v>
      </c>
      <c r="AG114" t="str">
        <f>IF('Raw File'!C114&gt;0,'Raw File'!C114, " ")</f>
        <v xml:space="preserve"> </v>
      </c>
      <c r="AQ114" t="str">
        <f>IF('Raw File'!G114&gt;0, IF('Raw File'!G114&lt;100, "H", "S"), " ")</f>
        <v xml:space="preserve"> </v>
      </c>
      <c r="AR114" t="str">
        <f>IF('Raw File'!G114&gt;0,'Raw File'!G114," ")</f>
        <v xml:space="preserve"> </v>
      </c>
      <c r="AT114" t="str">
        <f>IF('Raw File'!C114&gt;0,40," ")</f>
        <v xml:space="preserve"> </v>
      </c>
      <c r="AV114" t="str">
        <f>IF('Raw File'!N114= 0, " ", IF('Raw File'!N114="S", "SS", IF( 'Raw File'!N114= "M", "MJ", IF('Raw File'!N114= "H", "H"))))</f>
        <v xml:space="preserve"> </v>
      </c>
      <c r="AW114" s="12"/>
      <c r="AX114" t="str">
        <f>LEFT('Raw File'!P114,1)</f>
        <v/>
      </c>
      <c r="AY114" t="str">
        <f>LEFT('Raw File'!N114,1)</f>
        <v/>
      </c>
      <c r="AZ114">
        <f>IF('Raw File'!O114="exempt",99,IF('Raw File'!O114&gt;0,'Raw File'!O114/2000,IF('Raw File'!O114=0,'Raw File'!O114," ")))</f>
        <v>0</v>
      </c>
      <c r="BA114" t="str">
        <f>LEFT('Raw File'!P114,1)</f>
        <v/>
      </c>
      <c r="BJ114" t="str">
        <f>IF('Raw File'!C114&gt;0,"1"," ")</f>
        <v xml:space="preserve"> </v>
      </c>
      <c r="BX114" t="str">
        <f>IF('Raw File'!C114&gt;0,"WEEKLY"," ")</f>
        <v xml:space="preserve"> </v>
      </c>
      <c r="CA114" t="str">
        <f>IF('Raw File'!C114&gt;0, "N"," ")</f>
        <v xml:space="preserve"> </v>
      </c>
      <c r="CI114" t="str">
        <f>IF('Raw File'!C114&gt;0, "W", " ")</f>
        <v xml:space="preserve"> </v>
      </c>
      <c r="DN114" s="1" t="str">
        <f>IF('Raw File'!C114&gt;0,'Raw File'!A114," ")</f>
        <v xml:space="preserve"> </v>
      </c>
      <c r="GY114">
        <f>IF('Raw File'!O114=" "," ",IF('Raw File'!O114&gt;100,'Raw File'!O114,IF('Raw File'!O114="exempt","99999",IF('Raw File'!O114&lt;100, 'Raw File'!O114*2000, " "))))</f>
        <v>0</v>
      </c>
      <c r="HQ114" t="str">
        <f>IF('Raw File'!C114&gt;0,"1"," ")</f>
        <v xml:space="preserve"> </v>
      </c>
    </row>
    <row r="115" spans="1:225" x14ac:dyDescent="0.35">
      <c r="A115" t="str">
        <f>IF('Raw File'!E115&gt;0,'Raw File'!E115, " ")</f>
        <v xml:space="preserve"> </v>
      </c>
      <c r="B115" t="str">
        <f>IF('Raw File'!D115&gt;0,'Raw File'!D115," ")</f>
        <v xml:space="preserve"> </v>
      </c>
      <c r="C115" t="str">
        <f>IF('Raw File'!F115&gt;0,'Raw File'!F115, " ")</f>
        <v xml:space="preserve"> </v>
      </c>
      <c r="D115" s="1" t="str">
        <f>IF('Raw File'!R115&gt;0,'Raw File'!R115, " ")</f>
        <v xml:space="preserve"> </v>
      </c>
      <c r="E115" t="str">
        <f>IF('Raw File'!C115&gt;0, 296, " ")</f>
        <v xml:space="preserve"> </v>
      </c>
      <c r="F115" s="10" t="str">
        <f>IF('Raw File'!C115&gt;0, "5", " ")</f>
        <v xml:space="preserve"> </v>
      </c>
      <c r="G115" t="str">
        <f>IF('Raw File'!C115&gt;0, "X", " ")</f>
        <v xml:space="preserve"> </v>
      </c>
      <c r="H115" t="str">
        <f>IF('Raw File'!N115="H", "S", LEFT('Raw File'!N115, 1))</f>
        <v/>
      </c>
      <c r="J115" t="str">
        <f>IF('Raw File'!J115&gt;0,'Raw File'!J115," ")</f>
        <v xml:space="preserve"> </v>
      </c>
      <c r="L115" t="str">
        <f>IF('Raw File'!M115&gt;0,'Raw File'!M115," ")</f>
        <v xml:space="preserve"> </v>
      </c>
      <c r="M115" t="str">
        <f>IF('Raw File'!K115&gt;0,'Raw File'!K115," ")</f>
        <v xml:space="preserve"> </v>
      </c>
      <c r="N115" t="str">
        <f>IF('Raw File'!L115&gt;0,'Raw File'!L115," ")</f>
        <v xml:space="preserve"> </v>
      </c>
      <c r="U115" t="str">
        <f>IF('Raw File'!Q115&gt;0,'Raw File'!Q115," ")</f>
        <v xml:space="preserve"> </v>
      </c>
      <c r="Y115" t="str">
        <f>IF('Raw File'!C115&gt;0,'Raw File'!C115," ")</f>
        <v xml:space="preserve"> </v>
      </c>
      <c r="Z115" t="str">
        <f>IF('Raw File'!C115&gt;0, "A", " ")</f>
        <v xml:space="preserve"> </v>
      </c>
      <c r="AA115" t="str">
        <f>IF('Raw File'!C115&gt;0, "F", " ")</f>
        <v xml:space="preserve"> </v>
      </c>
      <c r="AB115" t="str">
        <f>IF('Raw File'!H115&gt;0,'Raw File'!H115," ")</f>
        <v xml:space="preserve"> </v>
      </c>
      <c r="AC115" s="11" t="str">
        <f>IF('Raw File'!C115&gt;0,IF(WhatColor('Raw File'!C115)&gt;10,8810,8018)," ")</f>
        <v xml:space="preserve"> </v>
      </c>
      <c r="AD115" s="1" t="str">
        <f>IF('Raw File'!C115&gt;0,'Raw File'!A115," ")</f>
        <v xml:space="preserve"> </v>
      </c>
      <c r="AE115" s="1" t="str">
        <f>IF('Raw File'!C115&gt;0,'Raw File'!A115," ")</f>
        <v xml:space="preserve"> </v>
      </c>
      <c r="AF115" s="1" t="str">
        <f>IF('Raw File'!C115&gt;0,'Raw File'!A115," ")</f>
        <v xml:space="preserve"> </v>
      </c>
      <c r="AG115" t="str">
        <f>IF('Raw File'!C115&gt;0,'Raw File'!C115, " ")</f>
        <v xml:space="preserve"> </v>
      </c>
      <c r="AQ115" t="str">
        <f>IF('Raw File'!G115&gt;0, IF('Raw File'!G115&lt;100, "H", "S"), " ")</f>
        <v xml:space="preserve"> </v>
      </c>
      <c r="AR115" t="str">
        <f>IF('Raw File'!G115&gt;0,'Raw File'!G115," ")</f>
        <v xml:space="preserve"> </v>
      </c>
      <c r="AT115" t="str">
        <f>IF('Raw File'!C115&gt;0,40," ")</f>
        <v xml:space="preserve"> </v>
      </c>
      <c r="AV115" t="str">
        <f>IF('Raw File'!N115= 0, " ", IF('Raw File'!N115="S", "SS", IF( 'Raw File'!N115= "M", "MJ", IF('Raw File'!N115= "H", "H"))))</f>
        <v xml:space="preserve"> </v>
      </c>
      <c r="AW115" s="12"/>
      <c r="AX115" t="str">
        <f>LEFT('Raw File'!P115,1)</f>
        <v/>
      </c>
      <c r="AY115" t="str">
        <f>LEFT('Raw File'!N115,1)</f>
        <v/>
      </c>
      <c r="AZ115">
        <f>IF('Raw File'!O115="exempt",99,IF('Raw File'!O115&gt;0,'Raw File'!O115/2000,IF('Raw File'!O115=0,'Raw File'!O115," ")))</f>
        <v>0</v>
      </c>
      <c r="BA115" t="str">
        <f>LEFT('Raw File'!P115,1)</f>
        <v/>
      </c>
      <c r="BJ115" t="str">
        <f>IF('Raw File'!C115&gt;0,"1"," ")</f>
        <v xml:space="preserve"> </v>
      </c>
      <c r="BX115" t="str">
        <f>IF('Raw File'!C115&gt;0,"WEEKLY"," ")</f>
        <v xml:space="preserve"> </v>
      </c>
      <c r="CA115" t="str">
        <f>IF('Raw File'!C115&gt;0, "N"," ")</f>
        <v xml:space="preserve"> </v>
      </c>
      <c r="CI115" t="str">
        <f>IF('Raw File'!C115&gt;0, "W", " ")</f>
        <v xml:space="preserve"> </v>
      </c>
      <c r="DN115" s="1" t="str">
        <f>IF('Raw File'!C115&gt;0,'Raw File'!A115," ")</f>
        <v xml:space="preserve"> </v>
      </c>
      <c r="GY115">
        <f>IF('Raw File'!O115=" "," ",IF('Raw File'!O115&gt;100,'Raw File'!O115,IF('Raw File'!O115="exempt","99999",IF('Raw File'!O115&lt;100, 'Raw File'!O115*2000, " "))))</f>
        <v>0</v>
      </c>
      <c r="HQ115" t="str">
        <f>IF('Raw File'!C115&gt;0,"1"," ")</f>
        <v xml:space="preserve"> </v>
      </c>
    </row>
    <row r="116" spans="1:225" x14ac:dyDescent="0.35">
      <c r="A116" t="str">
        <f>IF('Raw File'!E116&gt;0,'Raw File'!E116, " ")</f>
        <v xml:space="preserve"> </v>
      </c>
      <c r="B116" t="str">
        <f>IF('Raw File'!D116&gt;0,'Raw File'!D116," ")</f>
        <v xml:space="preserve"> </v>
      </c>
      <c r="C116" t="str">
        <f>IF('Raw File'!F116&gt;0,'Raw File'!F116, " ")</f>
        <v xml:space="preserve"> </v>
      </c>
      <c r="D116" s="1" t="str">
        <f>IF('Raw File'!R116&gt;0,'Raw File'!R116, " ")</f>
        <v xml:space="preserve"> </v>
      </c>
      <c r="E116" t="str">
        <f>IF('Raw File'!C116&gt;0, 296, " ")</f>
        <v xml:space="preserve"> </v>
      </c>
      <c r="F116" s="10" t="str">
        <f>IF('Raw File'!C116&gt;0, "5", " ")</f>
        <v xml:space="preserve"> </v>
      </c>
      <c r="G116" t="str">
        <f>IF('Raw File'!C116&gt;0, "X", " ")</f>
        <v xml:space="preserve"> </v>
      </c>
      <c r="H116" t="str">
        <f>IF('Raw File'!N116="H", "S", LEFT('Raw File'!N116, 1))</f>
        <v/>
      </c>
      <c r="J116" t="str">
        <f>IF('Raw File'!J116&gt;0,'Raw File'!J116," ")</f>
        <v xml:space="preserve"> </v>
      </c>
      <c r="L116" t="str">
        <f>IF('Raw File'!M116&gt;0,'Raw File'!M116," ")</f>
        <v xml:space="preserve"> </v>
      </c>
      <c r="M116" t="str">
        <f>IF('Raw File'!K116&gt;0,'Raw File'!K116," ")</f>
        <v xml:space="preserve"> </v>
      </c>
      <c r="N116" t="str">
        <f>IF('Raw File'!L116&gt;0,'Raw File'!L116," ")</f>
        <v xml:space="preserve"> </v>
      </c>
      <c r="U116" t="str">
        <f>IF('Raw File'!Q116&gt;0,'Raw File'!Q116," ")</f>
        <v xml:space="preserve"> </v>
      </c>
      <c r="Y116" t="str">
        <f>IF('Raw File'!C116&gt;0,'Raw File'!C116," ")</f>
        <v xml:space="preserve"> </v>
      </c>
      <c r="Z116" t="str">
        <f>IF('Raw File'!C116&gt;0, "A", " ")</f>
        <v xml:space="preserve"> </v>
      </c>
      <c r="AA116" t="str">
        <f>IF('Raw File'!C116&gt;0, "F", " ")</f>
        <v xml:space="preserve"> </v>
      </c>
      <c r="AB116" t="str">
        <f>IF('Raw File'!H116&gt;0,'Raw File'!H116," ")</f>
        <v xml:space="preserve"> </v>
      </c>
      <c r="AC116" s="11" t="str">
        <f>IF('Raw File'!C116&gt;0,IF(WhatColor('Raw File'!C116)&gt;10,8810,8018)," ")</f>
        <v xml:space="preserve"> </v>
      </c>
      <c r="AD116" s="1" t="str">
        <f>IF('Raw File'!C116&gt;0,'Raw File'!A116," ")</f>
        <v xml:space="preserve"> </v>
      </c>
      <c r="AE116" s="1" t="str">
        <f>IF('Raw File'!C116&gt;0,'Raw File'!A116," ")</f>
        <v xml:space="preserve"> </v>
      </c>
      <c r="AF116" s="1" t="str">
        <f>IF('Raw File'!C116&gt;0,'Raw File'!A116," ")</f>
        <v xml:space="preserve"> </v>
      </c>
      <c r="AG116" t="str">
        <f>IF('Raw File'!C116&gt;0,'Raw File'!C116, " ")</f>
        <v xml:space="preserve"> </v>
      </c>
      <c r="AQ116" t="str">
        <f>IF('Raw File'!G116&gt;0, IF('Raw File'!G116&lt;100, "H", "S"), " ")</f>
        <v xml:space="preserve"> </v>
      </c>
      <c r="AR116" t="str">
        <f>IF('Raw File'!G116&gt;0,'Raw File'!G116," ")</f>
        <v xml:space="preserve"> </v>
      </c>
      <c r="AT116" t="str">
        <f>IF('Raw File'!C116&gt;0,40," ")</f>
        <v xml:space="preserve"> </v>
      </c>
      <c r="AV116" t="str">
        <f>IF('Raw File'!N116= 0, " ", IF('Raw File'!N116="S", "SS", IF( 'Raw File'!N116= "M", "MJ", IF('Raw File'!N116= "H", "H"))))</f>
        <v xml:space="preserve"> </v>
      </c>
      <c r="AW116" s="12"/>
      <c r="AX116" t="str">
        <f>LEFT('Raw File'!P116,1)</f>
        <v/>
      </c>
      <c r="AY116" t="str">
        <f>LEFT('Raw File'!N116,1)</f>
        <v/>
      </c>
      <c r="AZ116">
        <f>IF('Raw File'!O116="exempt",99,IF('Raw File'!O116&gt;0,'Raw File'!O116/2000,IF('Raw File'!O116=0,'Raw File'!O116," ")))</f>
        <v>0</v>
      </c>
      <c r="BA116" t="str">
        <f>LEFT('Raw File'!P116,1)</f>
        <v/>
      </c>
      <c r="BJ116" t="str">
        <f>IF('Raw File'!C116&gt;0,"1"," ")</f>
        <v xml:space="preserve"> </v>
      </c>
      <c r="BX116" t="str">
        <f>IF('Raw File'!C116&gt;0,"WEEKLY"," ")</f>
        <v xml:space="preserve"> </v>
      </c>
      <c r="CA116" t="str">
        <f>IF('Raw File'!C116&gt;0, "N"," ")</f>
        <v xml:space="preserve"> </v>
      </c>
      <c r="CI116" t="str">
        <f>IF('Raw File'!C116&gt;0, "W", " ")</f>
        <v xml:space="preserve"> </v>
      </c>
      <c r="DN116" s="1" t="str">
        <f>IF('Raw File'!C116&gt;0,'Raw File'!A116," ")</f>
        <v xml:space="preserve"> </v>
      </c>
      <c r="GY116">
        <f>IF('Raw File'!O116=" "," ",IF('Raw File'!O116&gt;100,'Raw File'!O116,IF('Raw File'!O116="exempt","99999",IF('Raw File'!O116&lt;100, 'Raw File'!O116*2000, " "))))</f>
        <v>0</v>
      </c>
      <c r="HQ116" t="str">
        <f>IF('Raw File'!C116&gt;0,"1"," ")</f>
        <v xml:space="preserve"> </v>
      </c>
    </row>
    <row r="117" spans="1:225" x14ac:dyDescent="0.35">
      <c r="A117" t="str">
        <f>IF('Raw File'!E117&gt;0,'Raw File'!E117, " ")</f>
        <v xml:space="preserve"> </v>
      </c>
      <c r="B117" t="str">
        <f>IF('Raw File'!D117&gt;0,'Raw File'!D117," ")</f>
        <v xml:space="preserve"> </v>
      </c>
      <c r="C117" t="str">
        <f>IF('Raw File'!F117&gt;0,'Raw File'!F117, " ")</f>
        <v xml:space="preserve"> </v>
      </c>
      <c r="D117" s="1" t="str">
        <f>IF('Raw File'!R117&gt;0,'Raw File'!R117, " ")</f>
        <v xml:space="preserve"> </v>
      </c>
      <c r="E117" t="str">
        <f>IF('Raw File'!C117&gt;0, 296, " ")</f>
        <v xml:space="preserve"> </v>
      </c>
      <c r="F117" s="10" t="str">
        <f>IF('Raw File'!C117&gt;0, "5", " ")</f>
        <v xml:space="preserve"> </v>
      </c>
      <c r="G117" t="str">
        <f>IF('Raw File'!C117&gt;0, "X", " ")</f>
        <v xml:space="preserve"> </v>
      </c>
      <c r="H117" t="str">
        <f>IF('Raw File'!N117="H", "S", LEFT('Raw File'!N117, 1))</f>
        <v/>
      </c>
      <c r="J117" t="str">
        <f>IF('Raw File'!J117&gt;0,'Raw File'!J117," ")</f>
        <v xml:space="preserve"> </v>
      </c>
      <c r="L117" t="str">
        <f>IF('Raw File'!M117&gt;0,'Raw File'!M117," ")</f>
        <v xml:space="preserve"> </v>
      </c>
      <c r="M117" t="str">
        <f>IF('Raw File'!K117&gt;0,'Raw File'!K117," ")</f>
        <v xml:space="preserve"> </v>
      </c>
      <c r="N117" t="str">
        <f>IF('Raw File'!L117&gt;0,'Raw File'!L117," ")</f>
        <v xml:space="preserve"> </v>
      </c>
      <c r="U117" t="str">
        <f>IF('Raw File'!Q117&gt;0,'Raw File'!Q117," ")</f>
        <v xml:space="preserve"> </v>
      </c>
      <c r="Y117" t="str">
        <f>IF('Raw File'!C117&gt;0,'Raw File'!C117," ")</f>
        <v xml:space="preserve"> </v>
      </c>
      <c r="Z117" t="str">
        <f>IF('Raw File'!C117&gt;0, "A", " ")</f>
        <v xml:space="preserve"> </v>
      </c>
      <c r="AA117" t="str">
        <f>IF('Raw File'!C117&gt;0, "F", " ")</f>
        <v xml:space="preserve"> </v>
      </c>
      <c r="AB117" t="str">
        <f>IF('Raw File'!H117&gt;0,'Raw File'!H117," ")</f>
        <v xml:space="preserve"> </v>
      </c>
      <c r="AC117" s="11" t="str">
        <f>IF('Raw File'!C117&gt;0,IF(WhatColor('Raw File'!C117)&gt;10,8810,8018)," ")</f>
        <v xml:space="preserve"> </v>
      </c>
      <c r="AD117" s="1" t="str">
        <f>IF('Raw File'!C117&gt;0,'Raw File'!A117," ")</f>
        <v xml:space="preserve"> </v>
      </c>
      <c r="AE117" s="1" t="str">
        <f>IF('Raw File'!C117&gt;0,'Raw File'!A117," ")</f>
        <v xml:space="preserve"> </v>
      </c>
      <c r="AF117" s="1" t="str">
        <f>IF('Raw File'!C117&gt;0,'Raw File'!A117," ")</f>
        <v xml:space="preserve"> </v>
      </c>
      <c r="AG117" t="str">
        <f>IF('Raw File'!C117&gt;0,'Raw File'!C117, " ")</f>
        <v xml:space="preserve"> </v>
      </c>
      <c r="AQ117" t="str">
        <f>IF('Raw File'!G117&gt;0, IF('Raw File'!G117&lt;100, "H", "S"), " ")</f>
        <v xml:space="preserve"> </v>
      </c>
      <c r="AR117" t="str">
        <f>IF('Raw File'!G117&gt;0,'Raw File'!G117," ")</f>
        <v xml:space="preserve"> </v>
      </c>
      <c r="AT117" t="str">
        <f>IF('Raw File'!C117&gt;0,40," ")</f>
        <v xml:space="preserve"> </v>
      </c>
      <c r="AV117" t="str">
        <f>IF('Raw File'!N117= 0, " ", IF('Raw File'!N117="S", "SS", IF( 'Raw File'!N117= "M", "MJ", IF('Raw File'!N117= "H", "H"))))</f>
        <v xml:space="preserve"> </v>
      </c>
      <c r="AW117" s="12"/>
      <c r="AX117" t="str">
        <f>LEFT('Raw File'!P117,1)</f>
        <v/>
      </c>
      <c r="AY117" t="str">
        <f>LEFT('Raw File'!N117,1)</f>
        <v/>
      </c>
      <c r="AZ117">
        <f>IF('Raw File'!O117="exempt",99,IF('Raw File'!O117&gt;0,'Raw File'!O117/2000,IF('Raw File'!O117=0,'Raw File'!O117," ")))</f>
        <v>0</v>
      </c>
      <c r="BA117" t="str">
        <f>LEFT('Raw File'!P117,1)</f>
        <v/>
      </c>
      <c r="BJ117" t="str">
        <f>IF('Raw File'!C117&gt;0,"1"," ")</f>
        <v xml:space="preserve"> </v>
      </c>
      <c r="BX117" t="str">
        <f>IF('Raw File'!C117&gt;0,"WEEKLY"," ")</f>
        <v xml:space="preserve"> </v>
      </c>
      <c r="CA117" t="str">
        <f>IF('Raw File'!C117&gt;0, "N"," ")</f>
        <v xml:space="preserve"> </v>
      </c>
      <c r="CI117" t="str">
        <f>IF('Raw File'!C117&gt;0, "W", " ")</f>
        <v xml:space="preserve"> </v>
      </c>
      <c r="DN117" s="1" t="str">
        <f>IF('Raw File'!C117&gt;0,'Raw File'!A117," ")</f>
        <v xml:space="preserve"> </v>
      </c>
      <c r="GY117">
        <f>IF('Raw File'!O117=" "," ",IF('Raw File'!O117&gt;100,'Raw File'!O117,IF('Raw File'!O117="exempt","99999",IF('Raw File'!O117&lt;100, 'Raw File'!O117*2000, " "))))</f>
        <v>0</v>
      </c>
      <c r="HQ117" t="str">
        <f>IF('Raw File'!C117&gt;0,"1"," ")</f>
        <v xml:space="preserve"> </v>
      </c>
    </row>
    <row r="118" spans="1:225" x14ac:dyDescent="0.35">
      <c r="A118" t="str">
        <f>IF('Raw File'!E118&gt;0,'Raw File'!E118, " ")</f>
        <v xml:space="preserve"> </v>
      </c>
      <c r="B118" t="str">
        <f>IF('Raw File'!D118&gt;0,'Raw File'!D118," ")</f>
        <v xml:space="preserve"> </v>
      </c>
      <c r="C118" t="str">
        <f>IF('Raw File'!F118&gt;0,'Raw File'!F118, " ")</f>
        <v xml:space="preserve"> </v>
      </c>
      <c r="D118" s="1" t="str">
        <f>IF('Raw File'!R118&gt;0,'Raw File'!R118, " ")</f>
        <v xml:space="preserve"> </v>
      </c>
      <c r="E118" t="str">
        <f>IF('Raw File'!C118&gt;0, 296, " ")</f>
        <v xml:space="preserve"> </v>
      </c>
      <c r="F118" s="10" t="str">
        <f>IF('Raw File'!C118&gt;0, "5", " ")</f>
        <v xml:space="preserve"> </v>
      </c>
      <c r="G118" t="str">
        <f>IF('Raw File'!C118&gt;0, "X", " ")</f>
        <v xml:space="preserve"> </v>
      </c>
      <c r="H118" t="str">
        <f>IF('Raw File'!N118="H", "S", LEFT('Raw File'!N118, 1))</f>
        <v/>
      </c>
      <c r="J118" t="str">
        <f>IF('Raw File'!J118&gt;0,'Raw File'!J118," ")</f>
        <v xml:space="preserve"> </v>
      </c>
      <c r="L118" t="str">
        <f>IF('Raw File'!M118&gt;0,'Raw File'!M118," ")</f>
        <v xml:space="preserve"> </v>
      </c>
      <c r="M118" t="str">
        <f>IF('Raw File'!K118&gt;0,'Raw File'!K118," ")</f>
        <v xml:space="preserve"> </v>
      </c>
      <c r="N118" t="str">
        <f>IF('Raw File'!L118&gt;0,'Raw File'!L118," ")</f>
        <v xml:space="preserve"> </v>
      </c>
      <c r="U118" t="str">
        <f>IF('Raw File'!Q118&gt;0,'Raw File'!Q118," ")</f>
        <v xml:space="preserve"> </v>
      </c>
      <c r="Y118" t="str">
        <f>IF('Raw File'!C118&gt;0,'Raw File'!C118," ")</f>
        <v xml:space="preserve"> </v>
      </c>
      <c r="Z118" t="str">
        <f>IF('Raw File'!C118&gt;0, "A", " ")</f>
        <v xml:space="preserve"> </v>
      </c>
      <c r="AA118" t="str">
        <f>IF('Raw File'!C118&gt;0, "F", " ")</f>
        <v xml:space="preserve"> </v>
      </c>
      <c r="AB118" t="str">
        <f>IF('Raw File'!H118&gt;0,'Raw File'!H118," ")</f>
        <v xml:space="preserve"> </v>
      </c>
      <c r="AC118" s="11" t="str">
        <f>IF('Raw File'!C118&gt;0,IF(WhatColor('Raw File'!C118)&gt;10,8810,8018)," ")</f>
        <v xml:space="preserve"> </v>
      </c>
      <c r="AD118" s="1" t="str">
        <f>IF('Raw File'!C118&gt;0,'Raw File'!A118," ")</f>
        <v xml:space="preserve"> </v>
      </c>
      <c r="AE118" s="1" t="str">
        <f>IF('Raw File'!C118&gt;0,'Raw File'!A118," ")</f>
        <v xml:space="preserve"> </v>
      </c>
      <c r="AF118" s="1" t="str">
        <f>IF('Raw File'!C118&gt;0,'Raw File'!A118," ")</f>
        <v xml:space="preserve"> </v>
      </c>
      <c r="AG118" t="str">
        <f>IF('Raw File'!C118&gt;0,'Raw File'!C118, " ")</f>
        <v xml:space="preserve"> </v>
      </c>
      <c r="AQ118" t="str">
        <f>IF('Raw File'!G118&gt;0, IF('Raw File'!G118&lt;100, "H", "S"), " ")</f>
        <v xml:space="preserve"> </v>
      </c>
      <c r="AR118" t="str">
        <f>IF('Raw File'!G118&gt;0,'Raw File'!G118," ")</f>
        <v xml:space="preserve"> </v>
      </c>
      <c r="AT118" t="str">
        <f>IF('Raw File'!C118&gt;0,40," ")</f>
        <v xml:space="preserve"> </v>
      </c>
      <c r="AV118" t="str">
        <f>IF('Raw File'!N118= 0, " ", IF('Raw File'!N118="S", "SS", IF( 'Raw File'!N118= "M", "MJ", IF('Raw File'!N118= "H", "H"))))</f>
        <v xml:space="preserve"> </v>
      </c>
      <c r="AW118" s="12"/>
      <c r="AX118" t="str">
        <f>LEFT('Raw File'!P118,1)</f>
        <v/>
      </c>
      <c r="AY118" t="str">
        <f>LEFT('Raw File'!N118,1)</f>
        <v/>
      </c>
      <c r="AZ118">
        <f>IF('Raw File'!O118="exempt",99,IF('Raw File'!O118&gt;0,'Raw File'!O118/2000,IF('Raw File'!O118=0,'Raw File'!O118," ")))</f>
        <v>0</v>
      </c>
      <c r="BA118" t="str">
        <f>LEFT('Raw File'!P118,1)</f>
        <v/>
      </c>
      <c r="BJ118" t="str">
        <f>IF('Raw File'!C118&gt;0,"1"," ")</f>
        <v xml:space="preserve"> </v>
      </c>
      <c r="BX118" t="str">
        <f>IF('Raw File'!C118&gt;0,"WEEKLY"," ")</f>
        <v xml:space="preserve"> </v>
      </c>
      <c r="CA118" t="str">
        <f>IF('Raw File'!C118&gt;0, "N"," ")</f>
        <v xml:space="preserve"> </v>
      </c>
      <c r="CI118" t="str">
        <f>IF('Raw File'!C118&gt;0, "W", " ")</f>
        <v xml:space="preserve"> </v>
      </c>
      <c r="DN118" s="1" t="str">
        <f>IF('Raw File'!C118&gt;0,'Raw File'!A118," ")</f>
        <v xml:space="preserve"> </v>
      </c>
      <c r="GY118">
        <f>IF('Raw File'!O118=" "," ",IF('Raw File'!O118&gt;100,'Raw File'!O118,IF('Raw File'!O118="exempt","99999",IF('Raw File'!O118&lt;100, 'Raw File'!O118*2000, " "))))</f>
        <v>0</v>
      </c>
      <c r="HQ118" t="str">
        <f>IF('Raw File'!C118&gt;0,"1"," ")</f>
        <v xml:space="preserve"> </v>
      </c>
    </row>
    <row r="119" spans="1:225" x14ac:dyDescent="0.35">
      <c r="A119" t="str">
        <f>IF('Raw File'!E119&gt;0,'Raw File'!E119, " ")</f>
        <v xml:space="preserve"> </v>
      </c>
      <c r="B119" t="str">
        <f>IF('Raw File'!D119&gt;0,'Raw File'!D119," ")</f>
        <v xml:space="preserve"> </v>
      </c>
      <c r="C119" t="str">
        <f>IF('Raw File'!F119&gt;0,'Raw File'!F119, " ")</f>
        <v xml:space="preserve"> </v>
      </c>
      <c r="D119" s="1" t="str">
        <f>IF('Raw File'!R119&gt;0,'Raw File'!R119, " ")</f>
        <v xml:space="preserve"> </v>
      </c>
      <c r="E119" t="str">
        <f>IF('Raw File'!C119&gt;0, 296, " ")</f>
        <v xml:space="preserve"> </v>
      </c>
      <c r="F119" s="10" t="str">
        <f>IF('Raw File'!C119&gt;0, "5", " ")</f>
        <v xml:space="preserve"> </v>
      </c>
      <c r="G119" t="str">
        <f>IF('Raw File'!C119&gt;0, "X", " ")</f>
        <v xml:space="preserve"> </v>
      </c>
      <c r="H119" t="str">
        <f>IF('Raw File'!N119="H", "S", LEFT('Raw File'!N119, 1))</f>
        <v/>
      </c>
      <c r="J119" t="str">
        <f>IF('Raw File'!J119&gt;0,'Raw File'!J119," ")</f>
        <v xml:space="preserve"> </v>
      </c>
      <c r="L119" t="str">
        <f>IF('Raw File'!M119&gt;0,'Raw File'!M119," ")</f>
        <v xml:space="preserve"> </v>
      </c>
      <c r="M119" t="str">
        <f>IF('Raw File'!K119&gt;0,'Raw File'!K119," ")</f>
        <v xml:space="preserve"> </v>
      </c>
      <c r="N119" t="str">
        <f>IF('Raw File'!L119&gt;0,'Raw File'!L119," ")</f>
        <v xml:space="preserve"> </v>
      </c>
      <c r="U119" t="str">
        <f>IF('Raw File'!Q119&gt;0,'Raw File'!Q119," ")</f>
        <v xml:space="preserve"> </v>
      </c>
      <c r="Y119" t="str">
        <f>IF('Raw File'!C119&gt;0,'Raw File'!C119," ")</f>
        <v xml:space="preserve"> </v>
      </c>
      <c r="Z119" t="str">
        <f>IF('Raw File'!C119&gt;0, "A", " ")</f>
        <v xml:space="preserve"> </v>
      </c>
      <c r="AA119" t="str">
        <f>IF('Raw File'!C119&gt;0, "F", " ")</f>
        <v xml:space="preserve"> </v>
      </c>
      <c r="AB119" t="str">
        <f>IF('Raw File'!H119&gt;0,'Raw File'!H119," ")</f>
        <v xml:space="preserve"> </v>
      </c>
      <c r="AC119" s="11" t="str">
        <f>IF('Raw File'!C119&gt;0,IF(WhatColor('Raw File'!C119)&gt;10,8810,8018)," ")</f>
        <v xml:space="preserve"> </v>
      </c>
      <c r="AD119" s="1" t="str">
        <f>IF('Raw File'!C119&gt;0,'Raw File'!A119," ")</f>
        <v xml:space="preserve"> </v>
      </c>
      <c r="AE119" s="1" t="str">
        <f>IF('Raw File'!C119&gt;0,'Raw File'!A119," ")</f>
        <v xml:space="preserve"> </v>
      </c>
      <c r="AF119" s="1" t="str">
        <f>IF('Raw File'!C119&gt;0,'Raw File'!A119," ")</f>
        <v xml:space="preserve"> </v>
      </c>
      <c r="AG119" t="str">
        <f>IF('Raw File'!C119&gt;0,'Raw File'!C119, " ")</f>
        <v xml:space="preserve"> </v>
      </c>
      <c r="AQ119" t="str">
        <f>IF('Raw File'!G119&gt;0, IF('Raw File'!G119&lt;100, "H", "S"), " ")</f>
        <v xml:space="preserve"> </v>
      </c>
      <c r="AR119" t="str">
        <f>IF('Raw File'!G119&gt;0,'Raw File'!G119," ")</f>
        <v xml:space="preserve"> </v>
      </c>
      <c r="AT119" t="str">
        <f>IF('Raw File'!C119&gt;0,40," ")</f>
        <v xml:space="preserve"> </v>
      </c>
      <c r="AV119" t="str">
        <f>IF('Raw File'!N119= 0, " ", IF('Raw File'!N119="S", "SS", IF( 'Raw File'!N119= "M", "MJ", IF('Raw File'!N119= "H", "H"))))</f>
        <v xml:space="preserve"> </v>
      </c>
      <c r="AW119" s="12"/>
      <c r="AX119" t="str">
        <f>LEFT('Raw File'!P119,1)</f>
        <v/>
      </c>
      <c r="AY119" t="str">
        <f>LEFT('Raw File'!N119,1)</f>
        <v/>
      </c>
      <c r="AZ119">
        <f>IF('Raw File'!O119="exempt",99,IF('Raw File'!O119&gt;0,'Raw File'!O119/2000,IF('Raw File'!O119=0,'Raw File'!O119," ")))</f>
        <v>0</v>
      </c>
      <c r="BA119" t="str">
        <f>LEFT('Raw File'!P119,1)</f>
        <v/>
      </c>
      <c r="BJ119" t="str">
        <f>IF('Raw File'!C119&gt;0,"1"," ")</f>
        <v xml:space="preserve"> </v>
      </c>
      <c r="BX119" t="str">
        <f>IF('Raw File'!C119&gt;0,"WEEKLY"," ")</f>
        <v xml:space="preserve"> </v>
      </c>
      <c r="CA119" t="str">
        <f>IF('Raw File'!C119&gt;0, "N"," ")</f>
        <v xml:space="preserve"> </v>
      </c>
      <c r="CI119" t="str">
        <f>IF('Raw File'!C119&gt;0, "W", " ")</f>
        <v xml:space="preserve"> </v>
      </c>
      <c r="DN119" s="1" t="str">
        <f>IF('Raw File'!C119&gt;0,'Raw File'!A119," ")</f>
        <v xml:space="preserve"> </v>
      </c>
      <c r="GY119">
        <f>IF('Raw File'!O119=" "," ",IF('Raw File'!O119&gt;100,'Raw File'!O119,IF('Raw File'!O119="exempt","99999",IF('Raw File'!O119&lt;100, 'Raw File'!O119*2000, " "))))</f>
        <v>0</v>
      </c>
      <c r="HQ119" t="str">
        <f>IF('Raw File'!C119&gt;0,"1"," ")</f>
        <v xml:space="preserve"> </v>
      </c>
    </row>
    <row r="120" spans="1:225" x14ac:dyDescent="0.35">
      <c r="A120" t="str">
        <f>IF('Raw File'!E120&gt;0,'Raw File'!E120, " ")</f>
        <v xml:space="preserve"> </v>
      </c>
      <c r="B120" t="str">
        <f>IF('Raw File'!D120&gt;0,'Raw File'!D120," ")</f>
        <v xml:space="preserve"> </v>
      </c>
      <c r="C120" t="str">
        <f>IF('Raw File'!F120&gt;0,'Raw File'!F120, " ")</f>
        <v xml:space="preserve"> </v>
      </c>
      <c r="D120" s="1" t="str">
        <f>IF('Raw File'!R120&gt;0,'Raw File'!R120, " ")</f>
        <v xml:space="preserve"> </v>
      </c>
      <c r="E120" t="str">
        <f>IF('Raw File'!C120&gt;0, 296, " ")</f>
        <v xml:space="preserve"> </v>
      </c>
      <c r="F120" s="10" t="str">
        <f>IF('Raw File'!C120&gt;0, "5", " ")</f>
        <v xml:space="preserve"> </v>
      </c>
      <c r="G120" t="str">
        <f>IF('Raw File'!C120&gt;0, "X", " ")</f>
        <v xml:space="preserve"> </v>
      </c>
      <c r="H120" t="str">
        <f>IF('Raw File'!N120="H", "S", LEFT('Raw File'!N120, 1))</f>
        <v/>
      </c>
      <c r="J120" t="str">
        <f>IF('Raw File'!J120&gt;0,'Raw File'!J120," ")</f>
        <v xml:space="preserve"> </v>
      </c>
      <c r="L120" t="str">
        <f>IF('Raw File'!M120&gt;0,'Raw File'!M120," ")</f>
        <v xml:space="preserve"> </v>
      </c>
      <c r="M120" t="str">
        <f>IF('Raw File'!K120&gt;0,'Raw File'!K120," ")</f>
        <v xml:space="preserve"> </v>
      </c>
      <c r="N120" t="str">
        <f>IF('Raw File'!L120&gt;0,'Raw File'!L120," ")</f>
        <v xml:space="preserve"> </v>
      </c>
      <c r="U120" t="str">
        <f>IF('Raw File'!Q120&gt;0,'Raw File'!Q120," ")</f>
        <v xml:space="preserve"> </v>
      </c>
      <c r="Y120" t="str">
        <f>IF('Raw File'!C120&gt;0,'Raw File'!C120," ")</f>
        <v xml:space="preserve"> </v>
      </c>
      <c r="Z120" t="str">
        <f>IF('Raw File'!C120&gt;0, "A", " ")</f>
        <v xml:space="preserve"> </v>
      </c>
      <c r="AA120" t="str">
        <f>IF('Raw File'!C120&gt;0, "F", " ")</f>
        <v xml:space="preserve"> </v>
      </c>
      <c r="AB120" t="str">
        <f>IF('Raw File'!H120&gt;0,'Raw File'!H120," ")</f>
        <v xml:space="preserve"> </v>
      </c>
      <c r="AC120" s="11" t="str">
        <f>IF('Raw File'!C120&gt;0,IF(WhatColor('Raw File'!C120)&gt;10,8810,8018)," ")</f>
        <v xml:space="preserve"> </v>
      </c>
      <c r="AD120" s="1" t="str">
        <f>IF('Raw File'!C120&gt;0,'Raw File'!A120," ")</f>
        <v xml:space="preserve"> </v>
      </c>
      <c r="AE120" s="1" t="str">
        <f>IF('Raw File'!C120&gt;0,'Raw File'!A120," ")</f>
        <v xml:space="preserve"> </v>
      </c>
      <c r="AF120" s="1" t="str">
        <f>IF('Raw File'!C120&gt;0,'Raw File'!A120," ")</f>
        <v xml:space="preserve"> </v>
      </c>
      <c r="AG120" t="str">
        <f>IF('Raw File'!C120&gt;0,'Raw File'!C120, " ")</f>
        <v xml:space="preserve"> </v>
      </c>
      <c r="AQ120" t="str">
        <f>IF('Raw File'!G120&gt;0, IF('Raw File'!G120&lt;100, "H", "S"), " ")</f>
        <v xml:space="preserve"> </v>
      </c>
      <c r="AR120" t="str">
        <f>IF('Raw File'!G120&gt;0,'Raw File'!G120," ")</f>
        <v xml:space="preserve"> </v>
      </c>
      <c r="AT120" t="str">
        <f>IF('Raw File'!C120&gt;0,40," ")</f>
        <v xml:space="preserve"> </v>
      </c>
      <c r="AV120" t="str">
        <f>IF('Raw File'!N120= 0, " ", IF('Raw File'!N120="S", "SS", IF( 'Raw File'!N120= "M", "MJ", IF('Raw File'!N120= "H", "H"))))</f>
        <v xml:space="preserve"> </v>
      </c>
      <c r="AW120" s="12"/>
      <c r="AX120" t="str">
        <f>LEFT('Raw File'!P120,1)</f>
        <v/>
      </c>
      <c r="AY120" t="str">
        <f>LEFT('Raw File'!N120,1)</f>
        <v/>
      </c>
      <c r="AZ120">
        <f>IF('Raw File'!O120="exempt",99,IF('Raw File'!O120&gt;0,'Raw File'!O120/2000,IF('Raw File'!O120=0,'Raw File'!O120," ")))</f>
        <v>0</v>
      </c>
      <c r="BA120" t="str">
        <f>LEFT('Raw File'!P120,1)</f>
        <v/>
      </c>
      <c r="BJ120" t="str">
        <f>IF('Raw File'!C120&gt;0,"1"," ")</f>
        <v xml:space="preserve"> </v>
      </c>
      <c r="BX120" t="str">
        <f>IF('Raw File'!C120&gt;0,"WEEKLY"," ")</f>
        <v xml:space="preserve"> </v>
      </c>
      <c r="CA120" t="str">
        <f>IF('Raw File'!C120&gt;0, "N"," ")</f>
        <v xml:space="preserve"> </v>
      </c>
      <c r="CI120" t="str">
        <f>IF('Raw File'!C120&gt;0, "W", " ")</f>
        <v xml:space="preserve"> </v>
      </c>
      <c r="DN120" s="1" t="str">
        <f>IF('Raw File'!C120&gt;0,'Raw File'!A120," ")</f>
        <v xml:space="preserve"> </v>
      </c>
      <c r="GY120">
        <f>IF('Raw File'!O120=" "," ",IF('Raw File'!O120&gt;100,'Raw File'!O120,IF('Raw File'!O120="exempt","99999",IF('Raw File'!O120&lt;100, 'Raw File'!O120*2000, " "))))</f>
        <v>0</v>
      </c>
      <c r="HQ120" t="str">
        <f>IF('Raw File'!C120&gt;0,"1"," ")</f>
        <v xml:space="preserve"> </v>
      </c>
    </row>
    <row r="121" spans="1:225" x14ac:dyDescent="0.35">
      <c r="A121" t="str">
        <f>IF('Raw File'!E121&gt;0,'Raw File'!E121, " ")</f>
        <v xml:space="preserve"> </v>
      </c>
      <c r="B121" t="str">
        <f>IF('Raw File'!D121&gt;0,'Raw File'!D121," ")</f>
        <v xml:space="preserve"> </v>
      </c>
      <c r="C121" t="str">
        <f>IF('Raw File'!F121&gt;0,'Raw File'!F121, " ")</f>
        <v xml:space="preserve"> </v>
      </c>
      <c r="D121" s="1" t="str">
        <f>IF('Raw File'!R121&gt;0,'Raw File'!R121, " ")</f>
        <v xml:space="preserve"> </v>
      </c>
      <c r="E121" t="str">
        <f>IF('Raw File'!C121&gt;0, 296, " ")</f>
        <v xml:space="preserve"> </v>
      </c>
      <c r="F121" s="10" t="str">
        <f>IF('Raw File'!C121&gt;0, "5", " ")</f>
        <v xml:space="preserve"> </v>
      </c>
      <c r="G121" t="str">
        <f>IF('Raw File'!C121&gt;0, "X", " ")</f>
        <v xml:space="preserve"> </v>
      </c>
      <c r="H121" t="str">
        <f>IF('Raw File'!N121="H", "S", LEFT('Raw File'!N121, 1))</f>
        <v/>
      </c>
      <c r="J121" t="str">
        <f>IF('Raw File'!J121&gt;0,'Raw File'!J121," ")</f>
        <v xml:space="preserve"> </v>
      </c>
      <c r="L121" t="str">
        <f>IF('Raw File'!M121&gt;0,'Raw File'!M121," ")</f>
        <v xml:space="preserve"> </v>
      </c>
      <c r="M121" t="str">
        <f>IF('Raw File'!K121&gt;0,'Raw File'!K121," ")</f>
        <v xml:space="preserve"> </v>
      </c>
      <c r="N121" t="str">
        <f>IF('Raw File'!L121&gt;0,'Raw File'!L121," ")</f>
        <v xml:space="preserve"> </v>
      </c>
      <c r="U121" t="str">
        <f>IF('Raw File'!Q121&gt;0,'Raw File'!Q121," ")</f>
        <v xml:space="preserve"> </v>
      </c>
      <c r="Y121" t="str">
        <f>IF('Raw File'!C121&gt;0,'Raw File'!C121," ")</f>
        <v xml:space="preserve"> </v>
      </c>
      <c r="Z121" t="str">
        <f>IF('Raw File'!C121&gt;0, "A", " ")</f>
        <v xml:space="preserve"> </v>
      </c>
      <c r="AA121" t="str">
        <f>IF('Raw File'!C121&gt;0, "F", " ")</f>
        <v xml:space="preserve"> </v>
      </c>
      <c r="AB121" t="str">
        <f>IF('Raw File'!H121&gt;0,'Raw File'!H121," ")</f>
        <v xml:space="preserve"> </v>
      </c>
      <c r="AC121" s="11" t="str">
        <f>IF('Raw File'!C121&gt;0,IF(WhatColor('Raw File'!C121)&gt;10,8810,8018)," ")</f>
        <v xml:space="preserve"> </v>
      </c>
      <c r="AD121" s="1" t="str">
        <f>IF('Raw File'!C121&gt;0,'Raw File'!A121," ")</f>
        <v xml:space="preserve"> </v>
      </c>
      <c r="AE121" s="1" t="str">
        <f>IF('Raw File'!C121&gt;0,'Raw File'!A121," ")</f>
        <v xml:space="preserve"> </v>
      </c>
      <c r="AF121" s="1" t="str">
        <f>IF('Raw File'!C121&gt;0,'Raw File'!A121," ")</f>
        <v xml:space="preserve"> </v>
      </c>
      <c r="AG121" t="str">
        <f>IF('Raw File'!C121&gt;0,'Raw File'!C121, " ")</f>
        <v xml:space="preserve"> </v>
      </c>
      <c r="AQ121" t="str">
        <f>IF('Raw File'!G121&gt;0, IF('Raw File'!G121&lt;100, "H", "S"), " ")</f>
        <v xml:space="preserve"> </v>
      </c>
      <c r="AR121" t="str">
        <f>IF('Raw File'!G121&gt;0,'Raw File'!G121," ")</f>
        <v xml:space="preserve"> </v>
      </c>
      <c r="AT121" t="str">
        <f>IF('Raw File'!C121&gt;0,40," ")</f>
        <v xml:space="preserve"> </v>
      </c>
      <c r="AV121" t="str">
        <f>IF('Raw File'!N121= 0, " ", IF('Raw File'!N121="S", "SS", IF( 'Raw File'!N121= "M", "MJ", IF('Raw File'!N121= "H", "H"))))</f>
        <v xml:space="preserve"> </v>
      </c>
      <c r="AW121" s="12"/>
      <c r="AX121" t="str">
        <f>LEFT('Raw File'!P121,1)</f>
        <v/>
      </c>
      <c r="AY121" t="str">
        <f>LEFT('Raw File'!N121,1)</f>
        <v/>
      </c>
      <c r="AZ121">
        <f>IF('Raw File'!O121="exempt",99,IF('Raw File'!O121&gt;0,'Raw File'!O121/2000,IF('Raw File'!O121=0,'Raw File'!O121," ")))</f>
        <v>0</v>
      </c>
      <c r="BA121" t="str">
        <f>LEFT('Raw File'!P121,1)</f>
        <v/>
      </c>
      <c r="BJ121" t="str">
        <f>IF('Raw File'!C121&gt;0,"1"," ")</f>
        <v xml:space="preserve"> </v>
      </c>
      <c r="BX121" t="str">
        <f>IF('Raw File'!C121&gt;0,"WEEKLY"," ")</f>
        <v xml:space="preserve"> </v>
      </c>
      <c r="CA121" t="str">
        <f>IF('Raw File'!C121&gt;0, "N"," ")</f>
        <v xml:space="preserve"> </v>
      </c>
      <c r="CI121" t="str">
        <f>IF('Raw File'!C121&gt;0, "W", " ")</f>
        <v xml:space="preserve"> </v>
      </c>
      <c r="DN121" s="1" t="str">
        <f>IF('Raw File'!C121&gt;0,'Raw File'!A121," ")</f>
        <v xml:space="preserve"> </v>
      </c>
      <c r="GY121">
        <f>IF('Raw File'!O121=" "," ",IF('Raw File'!O121&gt;100,'Raw File'!O121,IF('Raw File'!O121="exempt","99999",IF('Raw File'!O121&lt;100, 'Raw File'!O121*2000, " "))))</f>
        <v>0</v>
      </c>
      <c r="HQ121" t="str">
        <f>IF('Raw File'!C121&gt;0,"1"," ")</f>
        <v xml:space="preserve"> </v>
      </c>
    </row>
    <row r="122" spans="1:225" x14ac:dyDescent="0.35">
      <c r="A122" t="str">
        <f>IF('Raw File'!E122&gt;0,'Raw File'!E122, " ")</f>
        <v xml:space="preserve"> </v>
      </c>
      <c r="B122" t="str">
        <f>IF('Raw File'!D122&gt;0,'Raw File'!D122," ")</f>
        <v xml:space="preserve"> </v>
      </c>
      <c r="C122" t="str">
        <f>IF('Raw File'!F122&gt;0,'Raw File'!F122, " ")</f>
        <v xml:space="preserve"> </v>
      </c>
      <c r="D122" s="1" t="str">
        <f>IF('Raw File'!R122&gt;0,'Raw File'!R122, " ")</f>
        <v xml:space="preserve"> </v>
      </c>
      <c r="E122" t="str">
        <f>IF('Raw File'!C122&gt;0, 296, " ")</f>
        <v xml:space="preserve"> </v>
      </c>
      <c r="F122" s="10" t="str">
        <f>IF('Raw File'!C122&gt;0, "5", " ")</f>
        <v xml:space="preserve"> </v>
      </c>
      <c r="G122" t="str">
        <f>IF('Raw File'!C122&gt;0, "X", " ")</f>
        <v xml:space="preserve"> </v>
      </c>
      <c r="H122" t="str">
        <f>IF('Raw File'!N122="H", "S", LEFT('Raw File'!N122, 1))</f>
        <v/>
      </c>
      <c r="J122" t="str">
        <f>IF('Raw File'!J122&gt;0,'Raw File'!J122," ")</f>
        <v xml:space="preserve"> </v>
      </c>
      <c r="L122" t="str">
        <f>IF('Raw File'!M122&gt;0,'Raw File'!M122," ")</f>
        <v xml:space="preserve"> </v>
      </c>
      <c r="M122" t="str">
        <f>IF('Raw File'!K122&gt;0,'Raw File'!K122," ")</f>
        <v xml:space="preserve"> </v>
      </c>
      <c r="N122" t="str">
        <f>IF('Raw File'!L122&gt;0,'Raw File'!L122," ")</f>
        <v xml:space="preserve"> </v>
      </c>
      <c r="U122" t="str">
        <f>IF('Raw File'!Q122&gt;0,'Raw File'!Q122," ")</f>
        <v xml:space="preserve"> </v>
      </c>
      <c r="Y122" t="str">
        <f>IF('Raw File'!C122&gt;0,'Raw File'!C122," ")</f>
        <v xml:space="preserve"> </v>
      </c>
      <c r="Z122" t="str">
        <f>IF('Raw File'!C122&gt;0, "A", " ")</f>
        <v xml:space="preserve"> </v>
      </c>
      <c r="AA122" t="str">
        <f>IF('Raw File'!C122&gt;0, "F", " ")</f>
        <v xml:space="preserve"> </v>
      </c>
      <c r="AB122" t="str">
        <f>IF('Raw File'!H122&gt;0,'Raw File'!H122," ")</f>
        <v xml:space="preserve"> </v>
      </c>
      <c r="AC122" s="11" t="str">
        <f>IF('Raw File'!C122&gt;0,IF(WhatColor('Raw File'!C122)&gt;10,8810,8018)," ")</f>
        <v xml:space="preserve"> </v>
      </c>
      <c r="AD122" s="1" t="str">
        <f>IF('Raw File'!C122&gt;0,'Raw File'!A122," ")</f>
        <v xml:space="preserve"> </v>
      </c>
      <c r="AE122" s="1" t="str">
        <f>IF('Raw File'!C122&gt;0,'Raw File'!A122," ")</f>
        <v xml:space="preserve"> </v>
      </c>
      <c r="AF122" s="1" t="str">
        <f>IF('Raw File'!C122&gt;0,'Raw File'!A122," ")</f>
        <v xml:space="preserve"> </v>
      </c>
      <c r="AG122" t="str">
        <f>IF('Raw File'!C122&gt;0,'Raw File'!C122, " ")</f>
        <v xml:space="preserve"> </v>
      </c>
      <c r="AQ122" t="str">
        <f>IF('Raw File'!G122&gt;0, IF('Raw File'!G122&lt;100, "H", "S"), " ")</f>
        <v xml:space="preserve"> </v>
      </c>
      <c r="AR122" t="str">
        <f>IF('Raw File'!G122&gt;0,'Raw File'!G122," ")</f>
        <v xml:space="preserve"> </v>
      </c>
      <c r="AT122" t="str">
        <f>IF('Raw File'!C122&gt;0,40," ")</f>
        <v xml:space="preserve"> </v>
      </c>
      <c r="AV122" t="str">
        <f>IF('Raw File'!N122= 0, " ", IF('Raw File'!N122="S", "SS", IF( 'Raw File'!N122= "M", "MJ", IF('Raw File'!N122= "H", "H"))))</f>
        <v xml:space="preserve"> </v>
      </c>
      <c r="AW122" s="12"/>
      <c r="AX122" t="str">
        <f>LEFT('Raw File'!P122,1)</f>
        <v/>
      </c>
      <c r="AY122" t="str">
        <f>LEFT('Raw File'!N122,1)</f>
        <v/>
      </c>
      <c r="AZ122">
        <f>IF('Raw File'!O122="exempt",99,IF('Raw File'!O122&gt;0,'Raw File'!O122/2000,IF('Raw File'!O122=0,'Raw File'!O122," ")))</f>
        <v>0</v>
      </c>
      <c r="BA122" t="str">
        <f>LEFT('Raw File'!P122,1)</f>
        <v/>
      </c>
      <c r="BJ122" t="str">
        <f>IF('Raw File'!C122&gt;0,"1"," ")</f>
        <v xml:space="preserve"> </v>
      </c>
      <c r="BX122" t="str">
        <f>IF('Raw File'!C122&gt;0,"WEEKLY"," ")</f>
        <v xml:space="preserve"> </v>
      </c>
      <c r="CA122" t="str">
        <f>IF('Raw File'!C122&gt;0, "N"," ")</f>
        <v xml:space="preserve"> </v>
      </c>
      <c r="CI122" t="str">
        <f>IF('Raw File'!C122&gt;0, "W", " ")</f>
        <v xml:space="preserve"> </v>
      </c>
      <c r="DN122" s="1" t="str">
        <f>IF('Raw File'!C122&gt;0,'Raw File'!A122," ")</f>
        <v xml:space="preserve"> </v>
      </c>
      <c r="GY122">
        <f>IF('Raw File'!O122=" "," ",IF('Raw File'!O122&gt;100,'Raw File'!O122,IF('Raw File'!O122="exempt","99999",IF('Raw File'!O122&lt;100, 'Raw File'!O122*2000, " "))))</f>
        <v>0</v>
      </c>
      <c r="HQ122" t="str">
        <f>IF('Raw File'!C122&gt;0,"1"," ")</f>
        <v xml:space="preserve"> </v>
      </c>
    </row>
    <row r="123" spans="1:225" x14ac:dyDescent="0.35">
      <c r="A123" t="str">
        <f>IF('Raw File'!E123&gt;0,'Raw File'!E123, " ")</f>
        <v xml:space="preserve"> </v>
      </c>
      <c r="B123" t="str">
        <f>IF('Raw File'!D123&gt;0,'Raw File'!D123," ")</f>
        <v xml:space="preserve"> </v>
      </c>
      <c r="C123" t="str">
        <f>IF('Raw File'!F123&gt;0,'Raw File'!F123, " ")</f>
        <v xml:space="preserve"> </v>
      </c>
      <c r="D123" s="1" t="str">
        <f>IF('Raw File'!R123&gt;0,'Raw File'!R123, " ")</f>
        <v xml:space="preserve"> </v>
      </c>
      <c r="E123" t="str">
        <f>IF('Raw File'!C123&gt;0, 296, " ")</f>
        <v xml:space="preserve"> </v>
      </c>
      <c r="F123" s="10" t="str">
        <f>IF('Raw File'!C123&gt;0, "5", " ")</f>
        <v xml:space="preserve"> </v>
      </c>
      <c r="G123" t="str">
        <f>IF('Raw File'!C123&gt;0, "X", " ")</f>
        <v xml:space="preserve"> </v>
      </c>
      <c r="H123" t="str">
        <f>IF('Raw File'!N123="H", "S", LEFT('Raw File'!N123, 1))</f>
        <v/>
      </c>
      <c r="J123" t="str">
        <f>IF('Raw File'!J123&gt;0,'Raw File'!J123," ")</f>
        <v xml:space="preserve"> </v>
      </c>
      <c r="L123" t="str">
        <f>IF('Raw File'!M123&gt;0,'Raw File'!M123," ")</f>
        <v xml:space="preserve"> </v>
      </c>
      <c r="M123" t="str">
        <f>IF('Raw File'!K123&gt;0,'Raw File'!K123," ")</f>
        <v xml:space="preserve"> </v>
      </c>
      <c r="N123" t="str">
        <f>IF('Raw File'!L123&gt;0,'Raw File'!L123," ")</f>
        <v xml:space="preserve"> </v>
      </c>
      <c r="U123" t="str">
        <f>IF('Raw File'!Q123&gt;0,'Raw File'!Q123," ")</f>
        <v xml:space="preserve"> </v>
      </c>
      <c r="Y123" t="str">
        <f>IF('Raw File'!C123&gt;0,'Raw File'!C123," ")</f>
        <v xml:space="preserve"> </v>
      </c>
      <c r="Z123" t="str">
        <f>IF('Raw File'!C123&gt;0, "A", " ")</f>
        <v xml:space="preserve"> </v>
      </c>
      <c r="AA123" t="str">
        <f>IF('Raw File'!C123&gt;0, "F", " ")</f>
        <v xml:space="preserve"> </v>
      </c>
      <c r="AB123" t="str">
        <f>IF('Raw File'!H123&gt;0,'Raw File'!H123," ")</f>
        <v xml:space="preserve"> </v>
      </c>
      <c r="AC123" s="11" t="str">
        <f>IF('Raw File'!C123&gt;0,IF(WhatColor('Raw File'!C123)&gt;10,8810,8018)," ")</f>
        <v xml:space="preserve"> </v>
      </c>
      <c r="AD123" s="1" t="str">
        <f>IF('Raw File'!C123&gt;0,'Raw File'!A123," ")</f>
        <v xml:space="preserve"> </v>
      </c>
      <c r="AE123" s="1" t="str">
        <f>IF('Raw File'!C123&gt;0,'Raw File'!A123," ")</f>
        <v xml:space="preserve"> </v>
      </c>
      <c r="AF123" s="1" t="str">
        <f>IF('Raw File'!C123&gt;0,'Raw File'!A123," ")</f>
        <v xml:space="preserve"> </v>
      </c>
      <c r="AG123" t="str">
        <f>IF('Raw File'!C123&gt;0,'Raw File'!C123, " ")</f>
        <v xml:space="preserve"> </v>
      </c>
      <c r="AQ123" t="str">
        <f>IF('Raw File'!G123&gt;0, IF('Raw File'!G123&lt;100, "H", "S"), " ")</f>
        <v xml:space="preserve"> </v>
      </c>
      <c r="AR123" t="str">
        <f>IF('Raw File'!G123&gt;0,'Raw File'!G123," ")</f>
        <v xml:space="preserve"> </v>
      </c>
      <c r="AT123" t="str">
        <f>IF('Raw File'!C123&gt;0,40," ")</f>
        <v xml:space="preserve"> </v>
      </c>
      <c r="AV123" t="str">
        <f>IF('Raw File'!N123= 0, " ", IF('Raw File'!N123="S", "SS", IF( 'Raw File'!N123= "M", "MJ", IF('Raw File'!N123= "H", "H"))))</f>
        <v xml:space="preserve"> </v>
      </c>
      <c r="AW123" s="12"/>
      <c r="AX123" t="str">
        <f>LEFT('Raw File'!P123,1)</f>
        <v/>
      </c>
      <c r="AY123" t="str">
        <f>LEFT('Raw File'!N123,1)</f>
        <v/>
      </c>
      <c r="AZ123">
        <f>IF('Raw File'!O123="exempt",99,IF('Raw File'!O123&gt;0,'Raw File'!O123/2000,IF('Raw File'!O123=0,'Raw File'!O123," ")))</f>
        <v>0</v>
      </c>
      <c r="BA123" t="str">
        <f>LEFT('Raw File'!P123,1)</f>
        <v/>
      </c>
      <c r="BJ123" t="str">
        <f>IF('Raw File'!C123&gt;0,"1"," ")</f>
        <v xml:space="preserve"> </v>
      </c>
      <c r="BX123" t="str">
        <f>IF('Raw File'!C123&gt;0,"WEEKLY"," ")</f>
        <v xml:space="preserve"> </v>
      </c>
      <c r="CA123" t="str">
        <f>IF('Raw File'!C123&gt;0, "N"," ")</f>
        <v xml:space="preserve"> </v>
      </c>
      <c r="CI123" t="str">
        <f>IF('Raw File'!C123&gt;0, "W", " ")</f>
        <v xml:space="preserve"> </v>
      </c>
      <c r="DN123" s="1" t="str">
        <f>IF('Raw File'!C123&gt;0,'Raw File'!A123," ")</f>
        <v xml:space="preserve"> </v>
      </c>
      <c r="GY123">
        <f>IF('Raw File'!O123=" "," ",IF('Raw File'!O123&gt;100,'Raw File'!O123,IF('Raw File'!O123="exempt","99999",IF('Raw File'!O123&lt;100, 'Raw File'!O123*2000, " "))))</f>
        <v>0</v>
      </c>
      <c r="HQ123" t="str">
        <f>IF('Raw File'!C123&gt;0,"1"," ")</f>
        <v xml:space="preserve"> </v>
      </c>
    </row>
    <row r="124" spans="1:225" x14ac:dyDescent="0.35">
      <c r="A124" t="str">
        <f>IF('Raw File'!E124&gt;0,'Raw File'!E124, " ")</f>
        <v xml:space="preserve"> </v>
      </c>
      <c r="B124" t="str">
        <f>IF('Raw File'!D124&gt;0,'Raw File'!D124," ")</f>
        <v xml:space="preserve"> </v>
      </c>
      <c r="C124" t="str">
        <f>IF('Raw File'!F124&gt;0,'Raw File'!F124, " ")</f>
        <v xml:space="preserve"> </v>
      </c>
      <c r="D124" s="1" t="str">
        <f>IF('Raw File'!R124&gt;0,'Raw File'!R124, " ")</f>
        <v xml:space="preserve"> </v>
      </c>
      <c r="E124" t="str">
        <f>IF('Raw File'!C124&gt;0, 296, " ")</f>
        <v xml:space="preserve"> </v>
      </c>
      <c r="F124" s="10" t="str">
        <f>IF('Raw File'!C124&gt;0, "5", " ")</f>
        <v xml:space="preserve"> </v>
      </c>
      <c r="G124" t="str">
        <f>IF('Raw File'!C124&gt;0, "X", " ")</f>
        <v xml:space="preserve"> </v>
      </c>
      <c r="H124" t="str">
        <f>IF('Raw File'!N124="H", "S", LEFT('Raw File'!N124, 1))</f>
        <v/>
      </c>
      <c r="J124" t="str">
        <f>IF('Raw File'!J124&gt;0,'Raw File'!J124," ")</f>
        <v xml:space="preserve"> </v>
      </c>
      <c r="L124" t="str">
        <f>IF('Raw File'!M124&gt;0,'Raw File'!M124," ")</f>
        <v xml:space="preserve"> </v>
      </c>
      <c r="M124" t="str">
        <f>IF('Raw File'!K124&gt;0,'Raw File'!K124," ")</f>
        <v xml:space="preserve"> </v>
      </c>
      <c r="N124" t="str">
        <f>IF('Raw File'!L124&gt;0,'Raw File'!L124," ")</f>
        <v xml:space="preserve"> </v>
      </c>
      <c r="U124" t="str">
        <f>IF('Raw File'!Q124&gt;0,'Raw File'!Q124," ")</f>
        <v xml:space="preserve"> </v>
      </c>
      <c r="Y124" t="str">
        <f>IF('Raw File'!C124&gt;0,'Raw File'!C124," ")</f>
        <v xml:space="preserve"> </v>
      </c>
      <c r="Z124" t="str">
        <f>IF('Raw File'!C124&gt;0, "A", " ")</f>
        <v xml:space="preserve"> </v>
      </c>
      <c r="AA124" t="str">
        <f>IF('Raw File'!C124&gt;0, "F", " ")</f>
        <v xml:space="preserve"> </v>
      </c>
      <c r="AB124" t="str">
        <f>IF('Raw File'!H124&gt;0,'Raw File'!H124," ")</f>
        <v xml:space="preserve"> </v>
      </c>
      <c r="AC124" s="11" t="str">
        <f>IF('Raw File'!C124&gt;0,IF(WhatColor('Raw File'!C124)&gt;10,8810,8018)," ")</f>
        <v xml:space="preserve"> </v>
      </c>
      <c r="AD124" s="1" t="str">
        <f>IF('Raw File'!C124&gt;0,'Raw File'!A124," ")</f>
        <v xml:space="preserve"> </v>
      </c>
      <c r="AE124" s="1" t="str">
        <f>IF('Raw File'!C124&gt;0,'Raw File'!A124," ")</f>
        <v xml:space="preserve"> </v>
      </c>
      <c r="AF124" s="1" t="str">
        <f>IF('Raw File'!C124&gt;0,'Raw File'!A124," ")</f>
        <v xml:space="preserve"> </v>
      </c>
      <c r="AG124" t="str">
        <f>IF('Raw File'!C124&gt;0,'Raw File'!C124, " ")</f>
        <v xml:space="preserve"> </v>
      </c>
      <c r="AQ124" t="str">
        <f>IF('Raw File'!G124&gt;0, IF('Raw File'!G124&lt;100, "H", "S"), " ")</f>
        <v xml:space="preserve"> </v>
      </c>
      <c r="AR124" t="str">
        <f>IF('Raw File'!G124&gt;0,'Raw File'!G124," ")</f>
        <v xml:space="preserve"> </v>
      </c>
      <c r="AT124" t="str">
        <f>IF('Raw File'!C124&gt;0,40," ")</f>
        <v xml:space="preserve"> </v>
      </c>
      <c r="AV124" t="str">
        <f>IF('Raw File'!N124= 0, " ", IF('Raw File'!N124="S", "SS", IF( 'Raw File'!N124= "M", "MJ", IF('Raw File'!N124= "H", "H"))))</f>
        <v xml:space="preserve"> </v>
      </c>
      <c r="AW124" s="12"/>
      <c r="AX124" t="str">
        <f>LEFT('Raw File'!P124,1)</f>
        <v/>
      </c>
      <c r="AY124" t="str">
        <f>LEFT('Raw File'!N124,1)</f>
        <v/>
      </c>
      <c r="AZ124">
        <f>IF('Raw File'!O124="exempt",99,IF('Raw File'!O124&gt;0,'Raw File'!O124/2000,IF('Raw File'!O124=0,'Raw File'!O124," ")))</f>
        <v>0</v>
      </c>
      <c r="BA124" t="str">
        <f>LEFT('Raw File'!P124,1)</f>
        <v/>
      </c>
      <c r="BJ124" t="str">
        <f>IF('Raw File'!C124&gt;0,"1"," ")</f>
        <v xml:space="preserve"> </v>
      </c>
      <c r="BX124" t="str">
        <f>IF('Raw File'!C124&gt;0,"WEEKLY"," ")</f>
        <v xml:space="preserve"> </v>
      </c>
      <c r="CA124" t="str">
        <f>IF('Raw File'!C124&gt;0, "N"," ")</f>
        <v xml:space="preserve"> </v>
      </c>
      <c r="CI124" t="str">
        <f>IF('Raw File'!C124&gt;0, "W", " ")</f>
        <v xml:space="preserve"> </v>
      </c>
      <c r="DN124" s="1" t="str">
        <f>IF('Raw File'!C124&gt;0,'Raw File'!A124," ")</f>
        <v xml:space="preserve"> </v>
      </c>
      <c r="GY124">
        <f>IF('Raw File'!O124=" "," ",IF('Raw File'!O124&gt;100,'Raw File'!O124,IF('Raw File'!O124="exempt","99999",IF('Raw File'!O124&lt;100, 'Raw File'!O124*2000, " "))))</f>
        <v>0</v>
      </c>
      <c r="HQ124" t="str">
        <f>IF('Raw File'!C124&gt;0,"1"," ")</f>
        <v xml:space="preserve"> </v>
      </c>
    </row>
    <row r="125" spans="1:225" x14ac:dyDescent="0.35">
      <c r="A125" t="str">
        <f>IF('Raw File'!E125&gt;0,'Raw File'!E125, " ")</f>
        <v xml:space="preserve"> </v>
      </c>
      <c r="B125" t="str">
        <f>IF('Raw File'!D125&gt;0,'Raw File'!D125," ")</f>
        <v xml:space="preserve"> </v>
      </c>
      <c r="C125" t="str">
        <f>IF('Raw File'!F125&gt;0,'Raw File'!F125, " ")</f>
        <v xml:space="preserve"> </v>
      </c>
      <c r="D125" s="1" t="str">
        <f>IF('Raw File'!R125&gt;0,'Raw File'!R125, " ")</f>
        <v xml:space="preserve"> </v>
      </c>
      <c r="E125" t="str">
        <f>IF('Raw File'!C125&gt;0, 296, " ")</f>
        <v xml:space="preserve"> </v>
      </c>
      <c r="F125" s="10" t="str">
        <f>IF('Raw File'!C125&gt;0, "5", " ")</f>
        <v xml:space="preserve"> </v>
      </c>
      <c r="G125" t="str">
        <f>IF('Raw File'!C125&gt;0, "X", " ")</f>
        <v xml:space="preserve"> </v>
      </c>
      <c r="H125" t="str">
        <f>IF('Raw File'!N125="H", "S", LEFT('Raw File'!N125, 1))</f>
        <v/>
      </c>
      <c r="J125" t="str">
        <f>IF('Raw File'!J125&gt;0,'Raw File'!J125," ")</f>
        <v xml:space="preserve"> </v>
      </c>
      <c r="L125" t="str">
        <f>IF('Raw File'!M125&gt;0,'Raw File'!M125," ")</f>
        <v xml:space="preserve"> </v>
      </c>
      <c r="M125" t="str">
        <f>IF('Raw File'!K125&gt;0,'Raw File'!K125," ")</f>
        <v xml:space="preserve"> </v>
      </c>
      <c r="N125" t="str">
        <f>IF('Raw File'!L125&gt;0,'Raw File'!L125," ")</f>
        <v xml:space="preserve"> </v>
      </c>
      <c r="U125" t="str">
        <f>IF('Raw File'!Q125&gt;0,'Raw File'!Q125," ")</f>
        <v xml:space="preserve"> </v>
      </c>
      <c r="Y125" t="str">
        <f>IF('Raw File'!C125&gt;0,'Raw File'!C125," ")</f>
        <v xml:space="preserve"> </v>
      </c>
      <c r="Z125" t="str">
        <f>IF('Raw File'!C125&gt;0, "A", " ")</f>
        <v xml:space="preserve"> </v>
      </c>
      <c r="AA125" t="str">
        <f>IF('Raw File'!C125&gt;0, "F", " ")</f>
        <v xml:space="preserve"> </v>
      </c>
      <c r="AB125" t="str">
        <f>IF('Raw File'!H125&gt;0,'Raw File'!H125," ")</f>
        <v xml:space="preserve"> </v>
      </c>
      <c r="AC125" s="11" t="str">
        <f>IF('Raw File'!C125&gt;0,IF(WhatColor('Raw File'!C125)&gt;10,8810,8018)," ")</f>
        <v xml:space="preserve"> </v>
      </c>
      <c r="AD125" s="1" t="str">
        <f>IF('Raw File'!C125&gt;0,'Raw File'!A125," ")</f>
        <v xml:space="preserve"> </v>
      </c>
      <c r="AE125" s="1" t="str">
        <f>IF('Raw File'!C125&gt;0,'Raw File'!A125," ")</f>
        <v xml:space="preserve"> </v>
      </c>
      <c r="AF125" s="1" t="str">
        <f>IF('Raw File'!C125&gt;0,'Raw File'!A125," ")</f>
        <v xml:space="preserve"> </v>
      </c>
      <c r="AG125" t="str">
        <f>IF('Raw File'!C125&gt;0,'Raw File'!C125, " ")</f>
        <v xml:space="preserve"> </v>
      </c>
      <c r="AQ125" t="str">
        <f>IF('Raw File'!G125&gt;0, IF('Raw File'!G125&lt;100, "H", "S"), " ")</f>
        <v xml:space="preserve"> </v>
      </c>
      <c r="AR125" t="str">
        <f>IF('Raw File'!G125&gt;0,'Raw File'!G125," ")</f>
        <v xml:space="preserve"> </v>
      </c>
      <c r="AT125" t="str">
        <f>IF('Raw File'!C125&gt;0,40," ")</f>
        <v xml:space="preserve"> </v>
      </c>
      <c r="AV125" t="str">
        <f>IF('Raw File'!N125= 0, " ", IF('Raw File'!N125="S", "SS", IF( 'Raw File'!N125= "M", "MJ", IF('Raw File'!N125= "H", "H"))))</f>
        <v xml:space="preserve"> </v>
      </c>
      <c r="AW125" s="12"/>
      <c r="AX125" t="str">
        <f>LEFT('Raw File'!P125,1)</f>
        <v/>
      </c>
      <c r="AY125" t="str">
        <f>LEFT('Raw File'!N125,1)</f>
        <v/>
      </c>
      <c r="AZ125">
        <f>IF('Raw File'!O125="exempt",99,IF('Raw File'!O125&gt;0,'Raw File'!O125/2000,IF('Raw File'!O125=0,'Raw File'!O125," ")))</f>
        <v>0</v>
      </c>
      <c r="BA125" t="str">
        <f>LEFT('Raw File'!P125,1)</f>
        <v/>
      </c>
      <c r="BJ125" t="str">
        <f>IF('Raw File'!C125&gt;0,"1"," ")</f>
        <v xml:space="preserve"> </v>
      </c>
      <c r="BX125" t="str">
        <f>IF('Raw File'!C125&gt;0,"WEEKLY"," ")</f>
        <v xml:space="preserve"> </v>
      </c>
      <c r="CA125" t="str">
        <f>IF('Raw File'!C125&gt;0, "N"," ")</f>
        <v xml:space="preserve"> </v>
      </c>
      <c r="CI125" t="str">
        <f>IF('Raw File'!C125&gt;0, "W", " ")</f>
        <v xml:space="preserve"> </v>
      </c>
      <c r="DN125" s="1" t="str">
        <f>IF('Raw File'!C125&gt;0,'Raw File'!A125," ")</f>
        <v xml:space="preserve"> </v>
      </c>
      <c r="GY125">
        <f>IF('Raw File'!O125=" "," ",IF('Raw File'!O125&gt;100,'Raw File'!O125,IF('Raw File'!O125="exempt","99999",IF('Raw File'!O125&lt;100, 'Raw File'!O125*2000, " "))))</f>
        <v>0</v>
      </c>
      <c r="HQ125" t="str">
        <f>IF('Raw File'!C125&gt;0,"1"," ")</f>
        <v xml:space="preserve"> </v>
      </c>
    </row>
    <row r="126" spans="1:225" x14ac:dyDescent="0.35">
      <c r="A126" t="str">
        <f>IF('Raw File'!E126&gt;0,'Raw File'!E126, " ")</f>
        <v xml:space="preserve"> </v>
      </c>
      <c r="B126" t="str">
        <f>IF('Raw File'!D126&gt;0,'Raw File'!D126," ")</f>
        <v xml:space="preserve"> </v>
      </c>
      <c r="C126" t="str">
        <f>IF('Raw File'!F126&gt;0,'Raw File'!F126, " ")</f>
        <v xml:space="preserve"> </v>
      </c>
      <c r="D126" s="1" t="str">
        <f>IF('Raw File'!R126&gt;0,'Raw File'!R126, " ")</f>
        <v xml:space="preserve"> </v>
      </c>
      <c r="E126" t="str">
        <f>IF('Raw File'!C126&gt;0, 296, " ")</f>
        <v xml:space="preserve"> </v>
      </c>
      <c r="F126" s="10" t="str">
        <f>IF('Raw File'!C126&gt;0, "5", " ")</f>
        <v xml:space="preserve"> </v>
      </c>
      <c r="G126" t="str">
        <f>IF('Raw File'!C126&gt;0, "X", " ")</f>
        <v xml:space="preserve"> </v>
      </c>
      <c r="H126" t="str">
        <f>IF('Raw File'!N126="H", "S", LEFT('Raw File'!N126, 1))</f>
        <v/>
      </c>
      <c r="J126" t="str">
        <f>IF('Raw File'!J126&gt;0,'Raw File'!J126," ")</f>
        <v xml:space="preserve"> </v>
      </c>
      <c r="L126" t="str">
        <f>IF('Raw File'!M126&gt;0,'Raw File'!M126," ")</f>
        <v xml:space="preserve"> </v>
      </c>
      <c r="M126" t="str">
        <f>IF('Raw File'!K126&gt;0,'Raw File'!K126," ")</f>
        <v xml:space="preserve"> </v>
      </c>
      <c r="N126" t="str">
        <f>IF('Raw File'!L126&gt;0,'Raw File'!L126," ")</f>
        <v xml:space="preserve"> </v>
      </c>
      <c r="U126" t="str">
        <f>IF('Raw File'!Q126&gt;0,'Raw File'!Q126," ")</f>
        <v xml:space="preserve"> </v>
      </c>
      <c r="Y126" t="str">
        <f>IF('Raw File'!C126&gt;0,'Raw File'!C126," ")</f>
        <v xml:space="preserve"> </v>
      </c>
      <c r="Z126" t="str">
        <f>IF('Raw File'!C126&gt;0, "A", " ")</f>
        <v xml:space="preserve"> </v>
      </c>
      <c r="AA126" t="str">
        <f>IF('Raw File'!C126&gt;0, "F", " ")</f>
        <v xml:space="preserve"> </v>
      </c>
      <c r="AB126" t="str">
        <f>IF('Raw File'!H126&gt;0,'Raw File'!H126," ")</f>
        <v xml:space="preserve"> </v>
      </c>
      <c r="AC126" s="11" t="str">
        <f>IF('Raw File'!C126&gt;0,IF(WhatColor('Raw File'!C126)&gt;10,8810,8018)," ")</f>
        <v xml:space="preserve"> </v>
      </c>
      <c r="AD126" s="1" t="str">
        <f>IF('Raw File'!C126&gt;0,'Raw File'!A126," ")</f>
        <v xml:space="preserve"> </v>
      </c>
      <c r="AE126" s="1" t="str">
        <f>IF('Raw File'!C126&gt;0,'Raw File'!A126," ")</f>
        <v xml:space="preserve"> </v>
      </c>
      <c r="AF126" s="1" t="str">
        <f>IF('Raw File'!C126&gt;0,'Raw File'!A126," ")</f>
        <v xml:space="preserve"> </v>
      </c>
      <c r="AG126" t="str">
        <f>IF('Raw File'!C126&gt;0,'Raw File'!C126, " ")</f>
        <v xml:space="preserve"> </v>
      </c>
      <c r="AQ126" t="str">
        <f>IF('Raw File'!G126&gt;0, IF('Raw File'!G126&lt;100, "H", "S"), " ")</f>
        <v xml:space="preserve"> </v>
      </c>
      <c r="AR126" t="str">
        <f>IF('Raw File'!G126&gt;0,'Raw File'!G126," ")</f>
        <v xml:space="preserve"> </v>
      </c>
      <c r="AT126" t="str">
        <f>IF('Raw File'!C126&gt;0,40," ")</f>
        <v xml:space="preserve"> </v>
      </c>
      <c r="AV126" t="str">
        <f>IF('Raw File'!N126= 0, " ", IF('Raw File'!N126="S", "SS", IF( 'Raw File'!N126= "M", "MJ", IF('Raw File'!N126= "H", "H"))))</f>
        <v xml:space="preserve"> </v>
      </c>
      <c r="AW126" s="12"/>
      <c r="AX126" t="str">
        <f>LEFT('Raw File'!P126,1)</f>
        <v/>
      </c>
      <c r="AY126" t="str">
        <f>LEFT('Raw File'!N126,1)</f>
        <v/>
      </c>
      <c r="AZ126">
        <f>IF('Raw File'!O126="exempt",99,IF('Raw File'!O126&gt;0,'Raw File'!O126/2000,IF('Raw File'!O126=0,'Raw File'!O126," ")))</f>
        <v>0</v>
      </c>
      <c r="BA126" t="str">
        <f>LEFT('Raw File'!P126,1)</f>
        <v/>
      </c>
      <c r="BJ126" t="str">
        <f>IF('Raw File'!C126&gt;0,"1"," ")</f>
        <v xml:space="preserve"> </v>
      </c>
      <c r="BX126" t="str">
        <f>IF('Raw File'!C126&gt;0,"WEEKLY"," ")</f>
        <v xml:space="preserve"> </v>
      </c>
      <c r="CA126" t="str">
        <f>IF('Raw File'!C126&gt;0, "N"," ")</f>
        <v xml:space="preserve"> </v>
      </c>
      <c r="CI126" t="str">
        <f>IF('Raw File'!C126&gt;0, "W", " ")</f>
        <v xml:space="preserve"> </v>
      </c>
      <c r="DN126" s="1" t="str">
        <f>IF('Raw File'!C126&gt;0,'Raw File'!A126," ")</f>
        <v xml:space="preserve"> </v>
      </c>
      <c r="GY126">
        <f>IF('Raw File'!O126=" "," ",IF('Raw File'!O126&gt;100,'Raw File'!O126,IF('Raw File'!O126="exempt","99999",IF('Raw File'!O126&lt;100, 'Raw File'!O126*2000, " "))))</f>
        <v>0</v>
      </c>
      <c r="HQ126" t="str">
        <f>IF('Raw File'!C126&gt;0,"1"," ")</f>
        <v xml:space="preserve"> </v>
      </c>
    </row>
    <row r="127" spans="1:225" x14ac:dyDescent="0.35">
      <c r="A127" t="str">
        <f>IF('Raw File'!E127&gt;0,'Raw File'!E127, " ")</f>
        <v xml:space="preserve"> </v>
      </c>
      <c r="B127" t="str">
        <f>IF('Raw File'!D127&gt;0,'Raw File'!D127," ")</f>
        <v xml:space="preserve"> </v>
      </c>
      <c r="C127" t="str">
        <f>IF('Raw File'!F127&gt;0,'Raw File'!F127, " ")</f>
        <v xml:space="preserve"> </v>
      </c>
      <c r="D127" s="1" t="str">
        <f>IF('Raw File'!R127&gt;0,'Raw File'!R127, " ")</f>
        <v xml:space="preserve"> </v>
      </c>
      <c r="E127" t="str">
        <f>IF('Raw File'!C127&gt;0, 296, " ")</f>
        <v xml:space="preserve"> </v>
      </c>
      <c r="F127" s="10" t="str">
        <f>IF('Raw File'!C127&gt;0, "5", " ")</f>
        <v xml:space="preserve"> </v>
      </c>
      <c r="G127" t="str">
        <f>IF('Raw File'!C127&gt;0, "X", " ")</f>
        <v xml:space="preserve"> </v>
      </c>
      <c r="H127" t="str">
        <f>IF('Raw File'!N127="H", "S", LEFT('Raw File'!N127, 1))</f>
        <v/>
      </c>
      <c r="J127" t="str">
        <f>IF('Raw File'!J127&gt;0,'Raw File'!J127," ")</f>
        <v xml:space="preserve"> </v>
      </c>
      <c r="L127" t="str">
        <f>IF('Raw File'!M127&gt;0,'Raw File'!M127," ")</f>
        <v xml:space="preserve"> </v>
      </c>
      <c r="M127" t="str">
        <f>IF('Raw File'!K127&gt;0,'Raw File'!K127," ")</f>
        <v xml:space="preserve"> </v>
      </c>
      <c r="N127" t="str">
        <f>IF('Raw File'!L127&gt;0,'Raw File'!L127," ")</f>
        <v xml:space="preserve"> </v>
      </c>
      <c r="U127" t="str">
        <f>IF('Raw File'!Q127&gt;0,'Raw File'!Q127," ")</f>
        <v xml:space="preserve"> </v>
      </c>
      <c r="Y127" t="str">
        <f>IF('Raw File'!C127&gt;0,'Raw File'!C127," ")</f>
        <v xml:space="preserve"> </v>
      </c>
      <c r="Z127" t="str">
        <f>IF('Raw File'!C127&gt;0, "A", " ")</f>
        <v xml:space="preserve"> </v>
      </c>
      <c r="AA127" t="str">
        <f>IF('Raw File'!C127&gt;0, "F", " ")</f>
        <v xml:space="preserve"> </v>
      </c>
      <c r="AB127" t="str">
        <f>IF('Raw File'!H127&gt;0,'Raw File'!H127," ")</f>
        <v xml:space="preserve"> </v>
      </c>
      <c r="AC127" s="11" t="str">
        <f>IF('Raw File'!C127&gt;0,IF(WhatColor('Raw File'!C127)&gt;10,8810,8018)," ")</f>
        <v xml:space="preserve"> </v>
      </c>
      <c r="AD127" s="1" t="str">
        <f>IF('Raw File'!C127&gt;0,'Raw File'!A127," ")</f>
        <v xml:space="preserve"> </v>
      </c>
      <c r="AE127" s="1" t="str">
        <f>IF('Raw File'!C127&gt;0,'Raw File'!A127," ")</f>
        <v xml:space="preserve"> </v>
      </c>
      <c r="AF127" s="1" t="str">
        <f>IF('Raw File'!C127&gt;0,'Raw File'!A127," ")</f>
        <v xml:space="preserve"> </v>
      </c>
      <c r="AG127" t="str">
        <f>IF('Raw File'!C127&gt;0,'Raw File'!C127, " ")</f>
        <v xml:space="preserve"> </v>
      </c>
      <c r="AQ127" t="str">
        <f>IF('Raw File'!G127&gt;0, IF('Raw File'!G127&lt;100, "H", "S"), " ")</f>
        <v xml:space="preserve"> </v>
      </c>
      <c r="AR127" t="str">
        <f>IF('Raw File'!G127&gt;0,'Raw File'!G127," ")</f>
        <v xml:space="preserve"> </v>
      </c>
      <c r="AT127" t="str">
        <f>IF('Raw File'!C127&gt;0,40," ")</f>
        <v xml:space="preserve"> </v>
      </c>
      <c r="AV127" t="str">
        <f>IF('Raw File'!N127= 0, " ", IF('Raw File'!N127="S", "SS", IF( 'Raw File'!N127= "M", "MJ", IF('Raw File'!N127= "H", "H"))))</f>
        <v xml:space="preserve"> </v>
      </c>
      <c r="AW127" s="12"/>
      <c r="AX127" t="str">
        <f>LEFT('Raw File'!P127,1)</f>
        <v/>
      </c>
      <c r="AY127" t="str">
        <f>LEFT('Raw File'!N127,1)</f>
        <v/>
      </c>
      <c r="AZ127">
        <f>IF('Raw File'!O127="exempt",99,IF('Raw File'!O127&gt;0,'Raw File'!O127/2000,IF('Raw File'!O127=0,'Raw File'!O127," ")))</f>
        <v>0</v>
      </c>
      <c r="BA127" t="str">
        <f>LEFT('Raw File'!P127,1)</f>
        <v/>
      </c>
      <c r="BJ127" t="str">
        <f>IF('Raw File'!C127&gt;0,"1"," ")</f>
        <v xml:space="preserve"> </v>
      </c>
      <c r="BX127" t="str">
        <f>IF('Raw File'!C127&gt;0,"WEEKLY"," ")</f>
        <v xml:space="preserve"> </v>
      </c>
      <c r="CA127" t="str">
        <f>IF('Raw File'!C127&gt;0, "N"," ")</f>
        <v xml:space="preserve"> </v>
      </c>
      <c r="CI127" t="str">
        <f>IF('Raw File'!C127&gt;0, "W", " ")</f>
        <v xml:space="preserve"> </v>
      </c>
      <c r="DN127" s="1" t="str">
        <f>IF('Raw File'!C127&gt;0,'Raw File'!A127," ")</f>
        <v xml:space="preserve"> </v>
      </c>
      <c r="GY127">
        <f>IF('Raw File'!O127=" "," ",IF('Raw File'!O127&gt;100,'Raw File'!O127,IF('Raw File'!O127="exempt","99999",IF('Raw File'!O127&lt;100, 'Raw File'!O127*2000, " "))))</f>
        <v>0</v>
      </c>
      <c r="HQ127" t="str">
        <f>IF('Raw File'!C127&gt;0,"1"," ")</f>
        <v xml:space="preserve"> </v>
      </c>
    </row>
    <row r="128" spans="1:225" x14ac:dyDescent="0.35">
      <c r="A128" t="str">
        <f>IF('Raw File'!E128&gt;0,'Raw File'!E128, " ")</f>
        <v xml:space="preserve"> </v>
      </c>
      <c r="B128" t="str">
        <f>IF('Raw File'!D128&gt;0,'Raw File'!D128," ")</f>
        <v xml:space="preserve"> </v>
      </c>
      <c r="C128" t="str">
        <f>IF('Raw File'!F128&gt;0,'Raw File'!F128, " ")</f>
        <v xml:space="preserve"> </v>
      </c>
      <c r="D128" s="1" t="str">
        <f>IF('Raw File'!R128&gt;0,'Raw File'!R128, " ")</f>
        <v xml:space="preserve"> </v>
      </c>
      <c r="E128" t="str">
        <f>IF('Raw File'!C128&gt;0, 296, " ")</f>
        <v xml:space="preserve"> </v>
      </c>
      <c r="F128" s="10" t="str">
        <f>IF('Raw File'!C128&gt;0, "5", " ")</f>
        <v xml:space="preserve"> </v>
      </c>
      <c r="G128" t="str">
        <f>IF('Raw File'!C128&gt;0, "X", " ")</f>
        <v xml:space="preserve"> </v>
      </c>
      <c r="H128" t="str">
        <f>IF('Raw File'!N128="H", "S", LEFT('Raw File'!N128, 1))</f>
        <v/>
      </c>
      <c r="J128" t="str">
        <f>IF('Raw File'!J128&gt;0,'Raw File'!J128," ")</f>
        <v xml:space="preserve"> </v>
      </c>
      <c r="L128" t="str">
        <f>IF('Raw File'!M128&gt;0,'Raw File'!M128," ")</f>
        <v xml:space="preserve"> </v>
      </c>
      <c r="M128" t="str">
        <f>IF('Raw File'!K128&gt;0,'Raw File'!K128," ")</f>
        <v xml:space="preserve"> </v>
      </c>
      <c r="N128" t="str">
        <f>IF('Raw File'!L128&gt;0,'Raw File'!L128," ")</f>
        <v xml:space="preserve"> </v>
      </c>
      <c r="U128" t="str">
        <f>IF('Raw File'!Q128&gt;0,'Raw File'!Q128," ")</f>
        <v xml:space="preserve"> </v>
      </c>
      <c r="Y128" t="str">
        <f>IF('Raw File'!C128&gt;0,'Raw File'!C128," ")</f>
        <v xml:space="preserve"> </v>
      </c>
      <c r="Z128" t="str">
        <f>IF('Raw File'!C128&gt;0, "A", " ")</f>
        <v xml:space="preserve"> </v>
      </c>
      <c r="AA128" t="str">
        <f>IF('Raw File'!C128&gt;0, "F", " ")</f>
        <v xml:space="preserve"> </v>
      </c>
      <c r="AB128" t="str">
        <f>IF('Raw File'!H128&gt;0,'Raw File'!H128," ")</f>
        <v xml:space="preserve"> </v>
      </c>
      <c r="AC128" s="11" t="str">
        <f>IF('Raw File'!C128&gt;0,IF(WhatColor('Raw File'!C128)&gt;10,8810,8018)," ")</f>
        <v xml:space="preserve"> </v>
      </c>
      <c r="AD128" s="1" t="str">
        <f>IF('Raw File'!C128&gt;0,'Raw File'!A128," ")</f>
        <v xml:space="preserve"> </v>
      </c>
      <c r="AE128" s="1" t="str">
        <f>IF('Raw File'!C128&gt;0,'Raw File'!A128," ")</f>
        <v xml:space="preserve"> </v>
      </c>
      <c r="AF128" s="1" t="str">
        <f>IF('Raw File'!C128&gt;0,'Raw File'!A128," ")</f>
        <v xml:space="preserve"> </v>
      </c>
      <c r="AG128" t="str">
        <f>IF('Raw File'!C128&gt;0,'Raw File'!C128, " ")</f>
        <v xml:space="preserve"> </v>
      </c>
      <c r="AQ128" t="str">
        <f>IF('Raw File'!G128&gt;0, IF('Raw File'!G128&lt;100, "H", "S"), " ")</f>
        <v xml:space="preserve"> </v>
      </c>
      <c r="AR128" t="str">
        <f>IF('Raw File'!G128&gt;0,'Raw File'!G128," ")</f>
        <v xml:space="preserve"> </v>
      </c>
      <c r="AT128" t="str">
        <f>IF('Raw File'!C128&gt;0,40," ")</f>
        <v xml:space="preserve"> </v>
      </c>
      <c r="AV128" t="str">
        <f>IF('Raw File'!N128= 0, " ", IF('Raw File'!N128="S", "SS", IF( 'Raw File'!N128= "M", "MJ", IF('Raw File'!N128= "H", "H"))))</f>
        <v xml:space="preserve"> </v>
      </c>
      <c r="AW128" s="12"/>
      <c r="AX128" t="str">
        <f>LEFT('Raw File'!P128,1)</f>
        <v/>
      </c>
      <c r="AY128" t="str">
        <f>LEFT('Raw File'!N128,1)</f>
        <v/>
      </c>
      <c r="AZ128">
        <f>IF('Raw File'!O128="exempt",99,IF('Raw File'!O128&gt;0,'Raw File'!O128/2000,IF('Raw File'!O128=0,'Raw File'!O128," ")))</f>
        <v>0</v>
      </c>
      <c r="BA128" t="str">
        <f>LEFT('Raw File'!P128,1)</f>
        <v/>
      </c>
      <c r="BJ128" t="str">
        <f>IF('Raw File'!C128&gt;0,"1"," ")</f>
        <v xml:space="preserve"> </v>
      </c>
      <c r="BX128" t="str">
        <f>IF('Raw File'!C128&gt;0,"WEEKLY"," ")</f>
        <v xml:space="preserve"> </v>
      </c>
      <c r="CA128" t="str">
        <f>IF('Raw File'!C128&gt;0, "N"," ")</f>
        <v xml:space="preserve"> </v>
      </c>
      <c r="CI128" t="str">
        <f>IF('Raw File'!C128&gt;0, "W", " ")</f>
        <v xml:space="preserve"> </v>
      </c>
      <c r="DN128" s="1" t="str">
        <f>IF('Raw File'!C128&gt;0,'Raw File'!A128," ")</f>
        <v xml:space="preserve"> </v>
      </c>
      <c r="GY128">
        <f>IF('Raw File'!O128=" "," ",IF('Raw File'!O128&gt;100,'Raw File'!O128,IF('Raw File'!O128="exempt","99999",IF('Raw File'!O128&lt;100, 'Raw File'!O128*2000, " "))))</f>
        <v>0</v>
      </c>
      <c r="HQ128" t="str">
        <f>IF('Raw File'!C128&gt;0,"1"," ")</f>
        <v xml:space="preserve"> </v>
      </c>
    </row>
    <row r="129" spans="1:225" x14ac:dyDescent="0.35">
      <c r="A129" t="str">
        <f>IF('Raw File'!E129&gt;0,'Raw File'!E129, " ")</f>
        <v xml:space="preserve"> </v>
      </c>
      <c r="B129" t="str">
        <f>IF('Raw File'!D129&gt;0,'Raw File'!D129," ")</f>
        <v xml:space="preserve"> </v>
      </c>
      <c r="C129" t="str">
        <f>IF('Raw File'!F129&gt;0,'Raw File'!F129, " ")</f>
        <v xml:space="preserve"> </v>
      </c>
      <c r="D129" s="1" t="str">
        <f>IF('Raw File'!R129&gt;0,'Raw File'!R129, " ")</f>
        <v xml:space="preserve"> </v>
      </c>
      <c r="E129" t="str">
        <f>IF('Raw File'!C129&gt;0, 296, " ")</f>
        <v xml:space="preserve"> </v>
      </c>
      <c r="F129" s="10" t="str">
        <f>IF('Raw File'!C129&gt;0, "5", " ")</f>
        <v xml:space="preserve"> </v>
      </c>
      <c r="G129" t="str">
        <f>IF('Raw File'!C129&gt;0, "X", " ")</f>
        <v xml:space="preserve"> </v>
      </c>
      <c r="H129" t="str">
        <f>IF('Raw File'!N129="H", "S", LEFT('Raw File'!N129, 1))</f>
        <v/>
      </c>
      <c r="J129" t="str">
        <f>IF('Raw File'!J129&gt;0,'Raw File'!J129," ")</f>
        <v xml:space="preserve"> </v>
      </c>
      <c r="L129" t="str">
        <f>IF('Raw File'!M129&gt;0,'Raw File'!M129," ")</f>
        <v xml:space="preserve"> </v>
      </c>
      <c r="M129" t="str">
        <f>IF('Raw File'!K129&gt;0,'Raw File'!K129," ")</f>
        <v xml:space="preserve"> </v>
      </c>
      <c r="N129" t="str">
        <f>IF('Raw File'!L129&gt;0,'Raw File'!L129," ")</f>
        <v xml:space="preserve"> </v>
      </c>
      <c r="U129" t="str">
        <f>IF('Raw File'!Q129&gt;0,'Raw File'!Q129," ")</f>
        <v xml:space="preserve"> </v>
      </c>
      <c r="Y129" t="str">
        <f>IF('Raw File'!C129&gt;0,'Raw File'!C129," ")</f>
        <v xml:space="preserve"> </v>
      </c>
      <c r="Z129" t="str">
        <f>IF('Raw File'!C129&gt;0, "A", " ")</f>
        <v xml:space="preserve"> </v>
      </c>
      <c r="AA129" t="str">
        <f>IF('Raw File'!C129&gt;0, "F", " ")</f>
        <v xml:space="preserve"> </v>
      </c>
      <c r="AB129" t="str">
        <f>IF('Raw File'!H129&gt;0,'Raw File'!H129," ")</f>
        <v xml:space="preserve"> </v>
      </c>
      <c r="AC129" s="11" t="str">
        <f>IF('Raw File'!C129&gt;0,IF(WhatColor('Raw File'!C129)&gt;10,8810,8018)," ")</f>
        <v xml:space="preserve"> </v>
      </c>
      <c r="AD129" s="1" t="str">
        <f>IF('Raw File'!C129&gt;0,'Raw File'!A129," ")</f>
        <v xml:space="preserve"> </v>
      </c>
      <c r="AE129" s="1" t="str">
        <f>IF('Raw File'!C129&gt;0,'Raw File'!A129," ")</f>
        <v xml:space="preserve"> </v>
      </c>
      <c r="AF129" s="1" t="str">
        <f>IF('Raw File'!C129&gt;0,'Raw File'!A129," ")</f>
        <v xml:space="preserve"> </v>
      </c>
      <c r="AG129" t="str">
        <f>IF('Raw File'!C129&gt;0,'Raw File'!C129, " ")</f>
        <v xml:space="preserve"> </v>
      </c>
      <c r="AQ129" t="str">
        <f>IF('Raw File'!G129&gt;0, IF('Raw File'!G129&lt;100, "H", "S"), " ")</f>
        <v xml:space="preserve"> </v>
      </c>
      <c r="AR129" t="str">
        <f>IF('Raw File'!G129&gt;0,'Raw File'!G129," ")</f>
        <v xml:space="preserve"> </v>
      </c>
      <c r="AT129" t="str">
        <f>IF('Raw File'!C129&gt;0,40," ")</f>
        <v xml:space="preserve"> </v>
      </c>
      <c r="AV129" t="str">
        <f>IF('Raw File'!N129= 0, " ", IF('Raw File'!N129="S", "SS", IF( 'Raw File'!N129= "M", "MJ", IF('Raw File'!N129= "H", "H"))))</f>
        <v xml:space="preserve"> </v>
      </c>
      <c r="AW129" s="12"/>
      <c r="AX129" t="str">
        <f>LEFT('Raw File'!P129,1)</f>
        <v/>
      </c>
      <c r="AY129" t="str">
        <f>LEFT('Raw File'!N129,1)</f>
        <v/>
      </c>
      <c r="AZ129">
        <f>IF('Raw File'!O129="exempt",99,IF('Raw File'!O129&gt;0,'Raw File'!O129/2000,IF('Raw File'!O129=0,'Raw File'!O129," ")))</f>
        <v>0</v>
      </c>
      <c r="BA129" t="str">
        <f>LEFT('Raw File'!P129,1)</f>
        <v/>
      </c>
      <c r="BJ129" t="str">
        <f>IF('Raw File'!C129&gt;0,"1"," ")</f>
        <v xml:space="preserve"> </v>
      </c>
      <c r="BX129" t="str">
        <f>IF('Raw File'!C129&gt;0,"WEEKLY"," ")</f>
        <v xml:space="preserve"> </v>
      </c>
      <c r="CA129" t="str">
        <f>IF('Raw File'!C129&gt;0, "N"," ")</f>
        <v xml:space="preserve"> </v>
      </c>
      <c r="CI129" t="str">
        <f>IF('Raw File'!C129&gt;0, "W", " ")</f>
        <v xml:space="preserve"> </v>
      </c>
      <c r="DN129" s="1" t="str">
        <f>IF('Raw File'!C129&gt;0,'Raw File'!A129," ")</f>
        <v xml:space="preserve"> </v>
      </c>
      <c r="GY129">
        <f>IF('Raw File'!O129=" "," ",IF('Raw File'!O129&gt;100,'Raw File'!O129,IF('Raw File'!O129="exempt","99999",IF('Raw File'!O129&lt;100, 'Raw File'!O129*2000, " "))))</f>
        <v>0</v>
      </c>
      <c r="HQ129" t="str">
        <f>IF('Raw File'!C129&gt;0,"1"," ")</f>
        <v xml:space="preserve"> </v>
      </c>
    </row>
    <row r="130" spans="1:225" x14ac:dyDescent="0.35">
      <c r="A130" t="str">
        <f>IF('Raw File'!E130&gt;0,'Raw File'!E130, " ")</f>
        <v xml:space="preserve"> </v>
      </c>
      <c r="B130" t="str">
        <f>IF('Raw File'!D130&gt;0,'Raw File'!D130," ")</f>
        <v xml:space="preserve"> </v>
      </c>
      <c r="C130" t="str">
        <f>IF('Raw File'!F130&gt;0,'Raw File'!F130, " ")</f>
        <v xml:space="preserve"> </v>
      </c>
      <c r="D130" s="1" t="str">
        <f>IF('Raw File'!R130&gt;0,'Raw File'!R130, " ")</f>
        <v xml:space="preserve"> </v>
      </c>
      <c r="E130" t="str">
        <f>IF('Raw File'!C130&gt;0, 296, " ")</f>
        <v xml:space="preserve"> </v>
      </c>
      <c r="F130" s="10" t="str">
        <f>IF('Raw File'!C130&gt;0, "5", " ")</f>
        <v xml:space="preserve"> </v>
      </c>
      <c r="G130" t="str">
        <f>IF('Raw File'!C130&gt;0, "X", " ")</f>
        <v xml:space="preserve"> </v>
      </c>
      <c r="H130" t="str">
        <f>IF('Raw File'!N130="H", "S", LEFT('Raw File'!N130, 1))</f>
        <v/>
      </c>
      <c r="J130" t="str">
        <f>IF('Raw File'!J130&gt;0,'Raw File'!J130," ")</f>
        <v xml:space="preserve"> </v>
      </c>
      <c r="L130" t="str">
        <f>IF('Raw File'!M130&gt;0,'Raw File'!M130," ")</f>
        <v xml:space="preserve"> </v>
      </c>
      <c r="M130" t="str">
        <f>IF('Raw File'!K130&gt;0,'Raw File'!K130," ")</f>
        <v xml:space="preserve"> </v>
      </c>
      <c r="N130" t="str">
        <f>IF('Raw File'!L130&gt;0,'Raw File'!L130," ")</f>
        <v xml:space="preserve"> </v>
      </c>
      <c r="U130" t="str">
        <f>IF('Raw File'!Q130&gt;0,'Raw File'!Q130," ")</f>
        <v xml:space="preserve"> </v>
      </c>
      <c r="Y130" t="str">
        <f>IF('Raw File'!C130&gt;0,'Raw File'!C130," ")</f>
        <v xml:space="preserve"> </v>
      </c>
      <c r="Z130" t="str">
        <f>IF('Raw File'!C130&gt;0, "A", " ")</f>
        <v xml:space="preserve"> </v>
      </c>
      <c r="AA130" t="str">
        <f>IF('Raw File'!C130&gt;0, "F", " ")</f>
        <v xml:space="preserve"> </v>
      </c>
      <c r="AB130" t="str">
        <f>IF('Raw File'!H130&gt;0,'Raw File'!H130," ")</f>
        <v xml:space="preserve"> </v>
      </c>
      <c r="AC130" s="11" t="str">
        <f>IF('Raw File'!C130&gt;0,IF(WhatColor('Raw File'!C130)&gt;10,8810,8018)," ")</f>
        <v xml:space="preserve"> </v>
      </c>
      <c r="AD130" s="1" t="str">
        <f>IF('Raw File'!C130&gt;0,'Raw File'!A130," ")</f>
        <v xml:space="preserve"> </v>
      </c>
      <c r="AE130" s="1" t="str">
        <f>IF('Raw File'!C130&gt;0,'Raw File'!A130," ")</f>
        <v xml:space="preserve"> </v>
      </c>
      <c r="AF130" s="1" t="str">
        <f>IF('Raw File'!C130&gt;0,'Raw File'!A130," ")</f>
        <v xml:space="preserve"> </v>
      </c>
      <c r="AG130" t="str">
        <f>IF('Raw File'!C130&gt;0,'Raw File'!C130, " ")</f>
        <v xml:space="preserve"> </v>
      </c>
      <c r="AQ130" t="str">
        <f>IF('Raw File'!G130&gt;0, IF('Raw File'!G130&lt;100, "H", "S"), " ")</f>
        <v xml:space="preserve"> </v>
      </c>
      <c r="AR130" t="str">
        <f>IF('Raw File'!G130&gt;0,'Raw File'!G130," ")</f>
        <v xml:space="preserve"> </v>
      </c>
      <c r="AT130" t="str">
        <f>IF('Raw File'!C130&gt;0,40," ")</f>
        <v xml:space="preserve"> </v>
      </c>
      <c r="AV130" t="str">
        <f>IF('Raw File'!N130= 0, " ", IF('Raw File'!N130="S", "SS", IF( 'Raw File'!N130= "M", "MJ", IF('Raw File'!N130= "H", "H"))))</f>
        <v xml:space="preserve"> </v>
      </c>
      <c r="AW130" s="12"/>
      <c r="AX130" t="str">
        <f>LEFT('Raw File'!P130,1)</f>
        <v/>
      </c>
      <c r="AY130" t="str">
        <f>LEFT('Raw File'!N130,1)</f>
        <v/>
      </c>
      <c r="AZ130">
        <f>IF('Raw File'!O130="exempt",99,IF('Raw File'!O130&gt;0,'Raw File'!O130/2000,IF('Raw File'!O130=0,'Raw File'!O130," ")))</f>
        <v>0</v>
      </c>
      <c r="BA130" t="str">
        <f>LEFT('Raw File'!P130,1)</f>
        <v/>
      </c>
      <c r="BJ130" t="str">
        <f>IF('Raw File'!C130&gt;0,"1"," ")</f>
        <v xml:space="preserve"> </v>
      </c>
      <c r="BX130" t="str">
        <f>IF('Raw File'!C130&gt;0,"WEEKLY"," ")</f>
        <v xml:space="preserve"> </v>
      </c>
      <c r="CA130" t="str">
        <f>IF('Raw File'!C130&gt;0, "N"," ")</f>
        <v xml:space="preserve"> </v>
      </c>
      <c r="CI130" t="str">
        <f>IF('Raw File'!C130&gt;0, "W", " ")</f>
        <v xml:space="preserve"> </v>
      </c>
      <c r="DN130" s="1" t="str">
        <f>IF('Raw File'!C130&gt;0,'Raw File'!A130," ")</f>
        <v xml:space="preserve"> </v>
      </c>
      <c r="GY130">
        <f>IF('Raw File'!O130=" "," ",IF('Raw File'!O130&gt;100,'Raw File'!O130,IF('Raw File'!O130="exempt","99999",IF('Raw File'!O130&lt;100, 'Raw File'!O130*2000, " "))))</f>
        <v>0</v>
      </c>
      <c r="HQ130" t="str">
        <f>IF('Raw File'!C130&gt;0,"1"," ")</f>
        <v xml:space="preserve"> </v>
      </c>
    </row>
    <row r="131" spans="1:225" x14ac:dyDescent="0.35">
      <c r="A131" t="str">
        <f>IF('Raw File'!E131&gt;0,'Raw File'!E131, " ")</f>
        <v xml:space="preserve"> </v>
      </c>
      <c r="B131" t="str">
        <f>IF('Raw File'!D131&gt;0,'Raw File'!D131," ")</f>
        <v xml:space="preserve"> </v>
      </c>
      <c r="C131" t="str">
        <f>IF('Raw File'!F131&gt;0,'Raw File'!F131, " ")</f>
        <v xml:space="preserve"> </v>
      </c>
      <c r="D131" s="1" t="str">
        <f>IF('Raw File'!R131&gt;0,'Raw File'!R131, " ")</f>
        <v xml:space="preserve"> </v>
      </c>
      <c r="E131" t="str">
        <f>IF('Raw File'!C131&gt;0, 296, " ")</f>
        <v xml:space="preserve"> </v>
      </c>
      <c r="F131" s="10" t="str">
        <f>IF('Raw File'!C131&gt;0, "5", " ")</f>
        <v xml:space="preserve"> </v>
      </c>
      <c r="G131" t="str">
        <f>IF('Raw File'!C131&gt;0, "X", " ")</f>
        <v xml:space="preserve"> </v>
      </c>
      <c r="H131" t="str">
        <f>IF('Raw File'!N131="H", "S", LEFT('Raw File'!N131, 1))</f>
        <v/>
      </c>
      <c r="J131" t="str">
        <f>IF('Raw File'!J131&gt;0,'Raw File'!J131," ")</f>
        <v xml:space="preserve"> </v>
      </c>
      <c r="L131" t="str">
        <f>IF('Raw File'!M131&gt;0,'Raw File'!M131," ")</f>
        <v xml:space="preserve"> </v>
      </c>
      <c r="M131" t="str">
        <f>IF('Raw File'!K131&gt;0,'Raw File'!K131," ")</f>
        <v xml:space="preserve"> </v>
      </c>
      <c r="N131" t="str">
        <f>IF('Raw File'!L131&gt;0,'Raw File'!L131," ")</f>
        <v xml:space="preserve"> </v>
      </c>
      <c r="U131" t="str">
        <f>IF('Raw File'!Q131&gt;0,'Raw File'!Q131," ")</f>
        <v xml:space="preserve"> </v>
      </c>
      <c r="Y131" t="str">
        <f>IF('Raw File'!C131&gt;0,'Raw File'!C131," ")</f>
        <v xml:space="preserve"> </v>
      </c>
      <c r="Z131" t="str">
        <f>IF('Raw File'!C131&gt;0, "A", " ")</f>
        <v xml:space="preserve"> </v>
      </c>
      <c r="AA131" t="str">
        <f>IF('Raw File'!C131&gt;0, "F", " ")</f>
        <v xml:space="preserve"> </v>
      </c>
      <c r="AB131" t="str">
        <f>IF('Raw File'!H131&gt;0,'Raw File'!H131," ")</f>
        <v xml:space="preserve"> </v>
      </c>
      <c r="AC131" s="11" t="str">
        <f>IF('Raw File'!C131&gt;0,IF(WhatColor('Raw File'!C131)&gt;10,8810,8018)," ")</f>
        <v xml:space="preserve"> </v>
      </c>
      <c r="AD131" s="1" t="str">
        <f>IF('Raw File'!C131&gt;0,'Raw File'!A131," ")</f>
        <v xml:space="preserve"> </v>
      </c>
      <c r="AE131" s="1" t="str">
        <f>IF('Raw File'!C131&gt;0,'Raw File'!A131," ")</f>
        <v xml:space="preserve"> </v>
      </c>
      <c r="AF131" s="1" t="str">
        <f>IF('Raw File'!C131&gt;0,'Raw File'!A131," ")</f>
        <v xml:space="preserve"> </v>
      </c>
      <c r="AG131" t="str">
        <f>IF('Raw File'!C131&gt;0,'Raw File'!C131, " ")</f>
        <v xml:space="preserve"> </v>
      </c>
      <c r="AQ131" t="str">
        <f>IF('Raw File'!G131&gt;0, IF('Raw File'!G131&lt;100, "H", "S"), " ")</f>
        <v xml:space="preserve"> </v>
      </c>
      <c r="AR131" t="str">
        <f>IF('Raw File'!G131&gt;0,'Raw File'!G131," ")</f>
        <v xml:space="preserve"> </v>
      </c>
      <c r="AT131" t="str">
        <f>IF('Raw File'!C131&gt;0,40," ")</f>
        <v xml:space="preserve"> </v>
      </c>
      <c r="AV131" t="str">
        <f>IF('Raw File'!N131= 0, " ", IF('Raw File'!N131="S", "SS", IF( 'Raw File'!N131= "M", "MJ", IF('Raw File'!N131= "H", "H"))))</f>
        <v xml:space="preserve"> </v>
      </c>
      <c r="AW131" s="12"/>
      <c r="AX131" t="str">
        <f>LEFT('Raw File'!P131,1)</f>
        <v/>
      </c>
      <c r="AY131" t="str">
        <f>LEFT('Raw File'!N131,1)</f>
        <v/>
      </c>
      <c r="AZ131">
        <f>IF('Raw File'!O131="exempt",99,IF('Raw File'!O131&gt;0,'Raw File'!O131/2000,IF('Raw File'!O131=0,'Raw File'!O131," ")))</f>
        <v>0</v>
      </c>
      <c r="BA131" t="str">
        <f>LEFT('Raw File'!P131,1)</f>
        <v/>
      </c>
      <c r="BJ131" t="str">
        <f>IF('Raw File'!C131&gt;0,"1"," ")</f>
        <v xml:space="preserve"> </v>
      </c>
      <c r="BX131" t="str">
        <f>IF('Raw File'!C131&gt;0,"WEEKLY"," ")</f>
        <v xml:space="preserve"> </v>
      </c>
      <c r="CA131" t="str">
        <f>IF('Raw File'!C131&gt;0, "N"," ")</f>
        <v xml:space="preserve"> </v>
      </c>
      <c r="CI131" t="str">
        <f>IF('Raw File'!C131&gt;0, "W", " ")</f>
        <v xml:space="preserve"> </v>
      </c>
      <c r="DN131" s="1" t="str">
        <f>IF('Raw File'!C131&gt;0,'Raw File'!A131," ")</f>
        <v xml:space="preserve"> </v>
      </c>
      <c r="GY131">
        <f>IF('Raw File'!O131=" "," ",IF('Raw File'!O131&gt;100,'Raw File'!O131,IF('Raw File'!O131="exempt","99999",IF('Raw File'!O131&lt;100, 'Raw File'!O131*2000, " "))))</f>
        <v>0</v>
      </c>
      <c r="HQ131" t="str">
        <f>IF('Raw File'!C131&gt;0,"1"," ")</f>
        <v xml:space="preserve"> </v>
      </c>
    </row>
    <row r="132" spans="1:225" x14ac:dyDescent="0.35">
      <c r="A132" t="str">
        <f>IF('Raw File'!E132&gt;0,'Raw File'!E132, " ")</f>
        <v xml:space="preserve"> </v>
      </c>
      <c r="B132" t="str">
        <f>IF('Raw File'!D132&gt;0,'Raw File'!D132," ")</f>
        <v xml:space="preserve"> </v>
      </c>
      <c r="C132" t="str">
        <f>IF('Raw File'!F132&gt;0,'Raw File'!F132, " ")</f>
        <v xml:space="preserve"> </v>
      </c>
      <c r="D132" s="1" t="str">
        <f>IF('Raw File'!R132&gt;0,'Raw File'!R132, " ")</f>
        <v xml:space="preserve"> </v>
      </c>
      <c r="E132" t="str">
        <f>IF('Raw File'!C132&gt;0, 296, " ")</f>
        <v xml:space="preserve"> </v>
      </c>
      <c r="F132" s="10" t="str">
        <f>IF('Raw File'!C132&gt;0, "5", " ")</f>
        <v xml:space="preserve"> </v>
      </c>
      <c r="G132" t="str">
        <f>IF('Raw File'!C132&gt;0, "X", " ")</f>
        <v xml:space="preserve"> </v>
      </c>
      <c r="H132" t="str">
        <f>IF('Raw File'!N132="H", "S", LEFT('Raw File'!N132, 1))</f>
        <v/>
      </c>
      <c r="J132" t="str">
        <f>IF('Raw File'!J132&gt;0,'Raw File'!J132," ")</f>
        <v xml:space="preserve"> </v>
      </c>
      <c r="L132" t="str">
        <f>IF('Raw File'!M132&gt;0,'Raw File'!M132," ")</f>
        <v xml:space="preserve"> </v>
      </c>
      <c r="M132" t="str">
        <f>IF('Raw File'!K132&gt;0,'Raw File'!K132," ")</f>
        <v xml:space="preserve"> </v>
      </c>
      <c r="N132" t="str">
        <f>IF('Raw File'!L132&gt;0,'Raw File'!L132," ")</f>
        <v xml:space="preserve"> </v>
      </c>
      <c r="U132" t="str">
        <f>IF('Raw File'!Q132&gt;0,'Raw File'!Q132," ")</f>
        <v xml:space="preserve"> </v>
      </c>
      <c r="Y132" t="str">
        <f>IF('Raw File'!C132&gt;0,'Raw File'!C132," ")</f>
        <v xml:space="preserve"> </v>
      </c>
      <c r="Z132" t="str">
        <f>IF('Raw File'!C132&gt;0, "A", " ")</f>
        <v xml:space="preserve"> </v>
      </c>
      <c r="AA132" t="str">
        <f>IF('Raw File'!C132&gt;0, "F", " ")</f>
        <v xml:space="preserve"> </v>
      </c>
      <c r="AB132" t="str">
        <f>IF('Raw File'!H132&gt;0,'Raw File'!H132," ")</f>
        <v xml:space="preserve"> </v>
      </c>
      <c r="AC132" s="11" t="str">
        <f>IF('Raw File'!C132&gt;0,IF(WhatColor('Raw File'!C132)&gt;10,8810,8018)," ")</f>
        <v xml:space="preserve"> </v>
      </c>
      <c r="AD132" s="1" t="str">
        <f>IF('Raw File'!C132&gt;0,'Raw File'!A132," ")</f>
        <v xml:space="preserve"> </v>
      </c>
      <c r="AE132" s="1" t="str">
        <f>IF('Raw File'!C132&gt;0,'Raw File'!A132," ")</f>
        <v xml:space="preserve"> </v>
      </c>
      <c r="AF132" s="1" t="str">
        <f>IF('Raw File'!C132&gt;0,'Raw File'!A132," ")</f>
        <v xml:space="preserve"> </v>
      </c>
      <c r="AG132" t="str">
        <f>IF('Raw File'!C132&gt;0,'Raw File'!C132, " ")</f>
        <v xml:space="preserve"> </v>
      </c>
      <c r="AQ132" t="str">
        <f>IF('Raw File'!G132&gt;0, IF('Raw File'!G132&lt;100, "H", "S"), " ")</f>
        <v xml:space="preserve"> </v>
      </c>
      <c r="AR132" t="str">
        <f>IF('Raw File'!G132&gt;0,'Raw File'!G132," ")</f>
        <v xml:space="preserve"> </v>
      </c>
      <c r="AT132" t="str">
        <f>IF('Raw File'!C132&gt;0,40," ")</f>
        <v xml:space="preserve"> </v>
      </c>
      <c r="AV132" t="str">
        <f>IF('Raw File'!N132= 0, " ", IF('Raw File'!N132="S", "SS", IF( 'Raw File'!N132= "M", "MJ", IF('Raw File'!N132= "H", "H"))))</f>
        <v xml:space="preserve"> </v>
      </c>
      <c r="AW132" s="12"/>
      <c r="AX132" t="str">
        <f>LEFT('Raw File'!P132,1)</f>
        <v/>
      </c>
      <c r="AY132" t="str">
        <f>LEFT('Raw File'!N132,1)</f>
        <v/>
      </c>
      <c r="AZ132">
        <f>IF('Raw File'!O132="exempt",99,IF('Raw File'!O132&gt;0,'Raw File'!O132/2000,IF('Raw File'!O132=0,'Raw File'!O132," ")))</f>
        <v>0</v>
      </c>
      <c r="BA132" t="str">
        <f>LEFT('Raw File'!P132,1)</f>
        <v/>
      </c>
      <c r="BJ132" t="str">
        <f>IF('Raw File'!C132&gt;0,"1"," ")</f>
        <v xml:space="preserve"> </v>
      </c>
      <c r="BX132" t="str">
        <f>IF('Raw File'!C132&gt;0,"WEEKLY"," ")</f>
        <v xml:space="preserve"> </v>
      </c>
      <c r="CA132" t="str">
        <f>IF('Raw File'!C132&gt;0, "N"," ")</f>
        <v xml:space="preserve"> </v>
      </c>
      <c r="CI132" t="str">
        <f>IF('Raw File'!C132&gt;0, "W", " ")</f>
        <v xml:space="preserve"> </v>
      </c>
      <c r="DN132" s="1" t="str">
        <f>IF('Raw File'!C132&gt;0,'Raw File'!A132," ")</f>
        <v xml:space="preserve"> </v>
      </c>
      <c r="GY132">
        <f>IF('Raw File'!O132=" "," ",IF('Raw File'!O132&gt;100,'Raw File'!O132,IF('Raw File'!O132="exempt","99999",IF('Raw File'!O132&lt;100, 'Raw File'!O132*2000, " "))))</f>
        <v>0</v>
      </c>
      <c r="HQ132" t="str">
        <f>IF('Raw File'!C132&gt;0,"1"," ")</f>
        <v xml:space="preserve"> </v>
      </c>
    </row>
    <row r="133" spans="1:225" x14ac:dyDescent="0.35">
      <c r="A133" t="str">
        <f>IF('Raw File'!E133&gt;0,'Raw File'!E133, " ")</f>
        <v xml:space="preserve"> </v>
      </c>
      <c r="B133" t="str">
        <f>IF('Raw File'!D133&gt;0,'Raw File'!D133," ")</f>
        <v xml:space="preserve"> </v>
      </c>
      <c r="C133" t="str">
        <f>IF('Raw File'!F133&gt;0,'Raw File'!F133, " ")</f>
        <v xml:space="preserve"> </v>
      </c>
      <c r="D133" s="1" t="str">
        <f>IF('Raw File'!R133&gt;0,'Raw File'!R133, " ")</f>
        <v xml:space="preserve"> </v>
      </c>
      <c r="E133" t="str">
        <f>IF('Raw File'!C133&gt;0, 296, " ")</f>
        <v xml:space="preserve"> </v>
      </c>
      <c r="F133" s="10" t="str">
        <f>IF('Raw File'!C133&gt;0, "5", " ")</f>
        <v xml:space="preserve"> </v>
      </c>
      <c r="G133" t="str">
        <f>IF('Raw File'!C133&gt;0, "X", " ")</f>
        <v xml:space="preserve"> </v>
      </c>
      <c r="H133" t="str">
        <f>IF('Raw File'!N133="H", "S", LEFT('Raw File'!N133, 1))</f>
        <v/>
      </c>
      <c r="J133" t="str">
        <f>IF('Raw File'!J133&gt;0,'Raw File'!J133," ")</f>
        <v xml:space="preserve"> </v>
      </c>
      <c r="L133" t="str">
        <f>IF('Raw File'!M133&gt;0,'Raw File'!M133," ")</f>
        <v xml:space="preserve"> </v>
      </c>
      <c r="M133" t="str">
        <f>IF('Raw File'!K133&gt;0,'Raw File'!K133," ")</f>
        <v xml:space="preserve"> </v>
      </c>
      <c r="N133" t="str">
        <f>IF('Raw File'!L133&gt;0,'Raw File'!L133," ")</f>
        <v xml:space="preserve"> </v>
      </c>
      <c r="U133" t="str">
        <f>IF('Raw File'!Q133&gt;0,'Raw File'!Q133," ")</f>
        <v xml:space="preserve"> </v>
      </c>
      <c r="Y133" t="str">
        <f>IF('Raw File'!C133&gt;0,'Raw File'!C133," ")</f>
        <v xml:space="preserve"> </v>
      </c>
      <c r="Z133" t="str">
        <f>IF('Raw File'!C133&gt;0, "A", " ")</f>
        <v xml:space="preserve"> </v>
      </c>
      <c r="AA133" t="str">
        <f>IF('Raw File'!C133&gt;0, "F", " ")</f>
        <v xml:space="preserve"> </v>
      </c>
      <c r="AB133" t="str">
        <f>IF('Raw File'!H133&gt;0,'Raw File'!H133," ")</f>
        <v xml:space="preserve"> </v>
      </c>
      <c r="AC133" s="11" t="str">
        <f>IF('Raw File'!C133&gt;0,IF(WhatColor('Raw File'!C133)&gt;10,8810,8018)," ")</f>
        <v xml:space="preserve"> </v>
      </c>
      <c r="AD133" s="1" t="str">
        <f>IF('Raw File'!C133&gt;0,'Raw File'!A133," ")</f>
        <v xml:space="preserve"> </v>
      </c>
      <c r="AE133" s="1" t="str">
        <f>IF('Raw File'!C133&gt;0,'Raw File'!A133," ")</f>
        <v xml:space="preserve"> </v>
      </c>
      <c r="AF133" s="1" t="str">
        <f>IF('Raw File'!C133&gt;0,'Raw File'!A133," ")</f>
        <v xml:space="preserve"> </v>
      </c>
      <c r="AG133" t="str">
        <f>IF('Raw File'!C133&gt;0,'Raw File'!C133, " ")</f>
        <v xml:space="preserve"> </v>
      </c>
      <c r="AQ133" t="str">
        <f>IF('Raw File'!G133&gt;0, IF('Raw File'!G133&lt;100, "H", "S"), " ")</f>
        <v xml:space="preserve"> </v>
      </c>
      <c r="AR133" t="str">
        <f>IF('Raw File'!G133&gt;0,'Raw File'!G133," ")</f>
        <v xml:space="preserve"> </v>
      </c>
      <c r="AT133" t="str">
        <f>IF('Raw File'!C133&gt;0,40," ")</f>
        <v xml:space="preserve"> </v>
      </c>
      <c r="AV133" t="str">
        <f>IF('Raw File'!N133= 0, " ", IF('Raw File'!N133="S", "SS", IF( 'Raw File'!N133= "M", "MJ", IF('Raw File'!N133= "H", "H"))))</f>
        <v xml:space="preserve"> </v>
      </c>
      <c r="AW133" s="12"/>
      <c r="AX133" t="str">
        <f>LEFT('Raw File'!P133,1)</f>
        <v/>
      </c>
      <c r="AY133" t="str">
        <f>LEFT('Raw File'!N133,1)</f>
        <v/>
      </c>
      <c r="AZ133">
        <f>IF('Raw File'!O133="exempt",99,IF('Raw File'!O133&gt;0,'Raw File'!O133/2000,IF('Raw File'!O133=0,'Raw File'!O133," ")))</f>
        <v>0</v>
      </c>
      <c r="BA133" t="str">
        <f>LEFT('Raw File'!P133,1)</f>
        <v/>
      </c>
      <c r="BJ133" t="str">
        <f>IF('Raw File'!C133&gt;0,"1"," ")</f>
        <v xml:space="preserve"> </v>
      </c>
      <c r="BX133" t="str">
        <f>IF('Raw File'!C133&gt;0,"WEEKLY"," ")</f>
        <v xml:space="preserve"> </v>
      </c>
      <c r="CA133" t="str">
        <f>IF('Raw File'!C133&gt;0, "N"," ")</f>
        <v xml:space="preserve"> </v>
      </c>
      <c r="CI133" t="str">
        <f>IF('Raw File'!C133&gt;0, "W", " ")</f>
        <v xml:space="preserve"> </v>
      </c>
      <c r="DN133" s="1" t="str">
        <f>IF('Raw File'!C133&gt;0,'Raw File'!A133," ")</f>
        <v xml:space="preserve"> </v>
      </c>
      <c r="GY133">
        <f>IF('Raw File'!O133=" "," ",IF('Raw File'!O133&gt;100,'Raw File'!O133,IF('Raw File'!O133="exempt","99999",IF('Raw File'!O133&lt;100, 'Raw File'!O133*2000, " "))))</f>
        <v>0</v>
      </c>
      <c r="HQ133" t="str">
        <f>IF('Raw File'!C133&gt;0,"1"," ")</f>
        <v xml:space="preserve"> </v>
      </c>
    </row>
    <row r="134" spans="1:225" x14ac:dyDescent="0.35">
      <c r="A134" t="str">
        <f>IF('Raw File'!E134&gt;0,'Raw File'!E134, " ")</f>
        <v xml:space="preserve"> </v>
      </c>
      <c r="B134" t="str">
        <f>IF('Raw File'!D134&gt;0,'Raw File'!D134," ")</f>
        <v xml:space="preserve"> </v>
      </c>
      <c r="C134" t="str">
        <f>IF('Raw File'!F134&gt;0,'Raw File'!F134, " ")</f>
        <v xml:space="preserve"> </v>
      </c>
      <c r="D134" s="1" t="str">
        <f>IF('Raw File'!R134&gt;0,'Raw File'!R134, " ")</f>
        <v xml:space="preserve"> </v>
      </c>
      <c r="E134" t="str">
        <f>IF('Raw File'!C134&gt;0, 296, " ")</f>
        <v xml:space="preserve"> </v>
      </c>
      <c r="F134" s="10" t="str">
        <f>IF('Raw File'!C134&gt;0, "5", " ")</f>
        <v xml:space="preserve"> </v>
      </c>
      <c r="G134" t="str">
        <f>IF('Raw File'!C134&gt;0, "X", " ")</f>
        <v xml:space="preserve"> </v>
      </c>
      <c r="H134" t="str">
        <f>IF('Raw File'!N134="H", "S", LEFT('Raw File'!N134, 1))</f>
        <v/>
      </c>
      <c r="J134" t="str">
        <f>IF('Raw File'!J134&gt;0,'Raw File'!J134," ")</f>
        <v xml:space="preserve"> </v>
      </c>
      <c r="L134" t="str">
        <f>IF('Raw File'!M134&gt;0,'Raw File'!M134," ")</f>
        <v xml:space="preserve"> </v>
      </c>
      <c r="M134" t="str">
        <f>IF('Raw File'!K134&gt;0,'Raw File'!K134," ")</f>
        <v xml:space="preserve"> </v>
      </c>
      <c r="N134" t="str">
        <f>IF('Raw File'!L134&gt;0,'Raw File'!L134," ")</f>
        <v xml:space="preserve"> </v>
      </c>
      <c r="U134" t="str">
        <f>IF('Raw File'!Q134&gt;0,'Raw File'!Q134," ")</f>
        <v xml:space="preserve"> </v>
      </c>
      <c r="Y134" t="str">
        <f>IF('Raw File'!C134&gt;0,'Raw File'!C134," ")</f>
        <v xml:space="preserve"> </v>
      </c>
      <c r="Z134" t="str">
        <f>IF('Raw File'!C134&gt;0, "A", " ")</f>
        <v xml:space="preserve"> </v>
      </c>
      <c r="AA134" t="str">
        <f>IF('Raw File'!C134&gt;0, "F", " ")</f>
        <v xml:space="preserve"> </v>
      </c>
      <c r="AB134" t="str">
        <f>IF('Raw File'!H134&gt;0,'Raw File'!H134," ")</f>
        <v xml:space="preserve"> </v>
      </c>
      <c r="AC134" s="11" t="str">
        <f>IF('Raw File'!C134&gt;0,IF(WhatColor('Raw File'!C134)&gt;10,8810,8018)," ")</f>
        <v xml:space="preserve"> </v>
      </c>
      <c r="AD134" s="1" t="str">
        <f>IF('Raw File'!C134&gt;0,'Raw File'!A134," ")</f>
        <v xml:space="preserve"> </v>
      </c>
      <c r="AE134" s="1" t="str">
        <f>IF('Raw File'!C134&gt;0,'Raw File'!A134," ")</f>
        <v xml:space="preserve"> </v>
      </c>
      <c r="AF134" s="1" t="str">
        <f>IF('Raw File'!C134&gt;0,'Raw File'!A134," ")</f>
        <v xml:space="preserve"> </v>
      </c>
      <c r="AG134" t="str">
        <f>IF('Raw File'!C134&gt;0,'Raw File'!C134, " ")</f>
        <v xml:space="preserve"> </v>
      </c>
      <c r="AQ134" t="str">
        <f>IF('Raw File'!G134&gt;0, IF('Raw File'!G134&lt;100, "H", "S"), " ")</f>
        <v xml:space="preserve"> </v>
      </c>
      <c r="AR134" t="str">
        <f>IF('Raw File'!G134&gt;0,'Raw File'!G134," ")</f>
        <v xml:space="preserve"> </v>
      </c>
      <c r="AT134" t="str">
        <f>IF('Raw File'!C134&gt;0,40," ")</f>
        <v xml:space="preserve"> </v>
      </c>
      <c r="AV134" t="str">
        <f>IF('Raw File'!N134= 0, " ", IF('Raw File'!N134="S", "SS", IF( 'Raw File'!N134= "M", "MJ", IF('Raw File'!N134= "H", "H"))))</f>
        <v xml:space="preserve"> </v>
      </c>
      <c r="AW134" s="12"/>
      <c r="AX134" t="str">
        <f>LEFT('Raw File'!P134,1)</f>
        <v/>
      </c>
      <c r="AY134" t="str">
        <f>LEFT('Raw File'!N134,1)</f>
        <v/>
      </c>
      <c r="AZ134">
        <f>IF('Raw File'!O134="exempt",99,IF('Raw File'!O134&gt;0,'Raw File'!O134/2000,IF('Raw File'!O134=0,'Raw File'!O134," ")))</f>
        <v>0</v>
      </c>
      <c r="BA134" t="str">
        <f>LEFT('Raw File'!P134,1)</f>
        <v/>
      </c>
      <c r="BJ134" t="str">
        <f>IF('Raw File'!C134&gt;0,"1"," ")</f>
        <v xml:space="preserve"> </v>
      </c>
      <c r="BX134" t="str">
        <f>IF('Raw File'!C134&gt;0,"WEEKLY"," ")</f>
        <v xml:space="preserve"> </v>
      </c>
      <c r="CA134" t="str">
        <f>IF('Raw File'!C134&gt;0, "N"," ")</f>
        <v xml:space="preserve"> </v>
      </c>
      <c r="CI134" t="str">
        <f>IF('Raw File'!C134&gt;0, "W", " ")</f>
        <v xml:space="preserve"> </v>
      </c>
      <c r="DN134" s="1" t="str">
        <f>IF('Raw File'!C134&gt;0,'Raw File'!A134," ")</f>
        <v xml:space="preserve"> </v>
      </c>
      <c r="GY134">
        <f>IF('Raw File'!O134=" "," ",IF('Raw File'!O134&gt;100,'Raw File'!O134,IF('Raw File'!O134="exempt","99999",IF('Raw File'!O134&lt;100, 'Raw File'!O134*2000, " "))))</f>
        <v>0</v>
      </c>
      <c r="HQ134" t="str">
        <f>IF('Raw File'!C134&gt;0,"1"," ")</f>
        <v xml:space="preserve"> </v>
      </c>
    </row>
    <row r="135" spans="1:225" x14ac:dyDescent="0.35">
      <c r="A135" t="str">
        <f>IF('Raw File'!E135&gt;0,'Raw File'!E135, " ")</f>
        <v xml:space="preserve"> </v>
      </c>
      <c r="B135" t="str">
        <f>IF('Raw File'!D135&gt;0,'Raw File'!D135," ")</f>
        <v xml:space="preserve"> </v>
      </c>
      <c r="C135" t="str">
        <f>IF('Raw File'!F135&gt;0,'Raw File'!F135, " ")</f>
        <v xml:space="preserve"> </v>
      </c>
      <c r="D135" s="1" t="str">
        <f>IF('Raw File'!R135&gt;0,'Raw File'!R135, " ")</f>
        <v xml:space="preserve"> </v>
      </c>
      <c r="E135" t="str">
        <f>IF('Raw File'!C135&gt;0, 296, " ")</f>
        <v xml:space="preserve"> </v>
      </c>
      <c r="F135" s="10" t="str">
        <f>IF('Raw File'!C135&gt;0, "5", " ")</f>
        <v xml:space="preserve"> </v>
      </c>
      <c r="G135" t="str">
        <f>IF('Raw File'!C135&gt;0, "X", " ")</f>
        <v xml:space="preserve"> </v>
      </c>
      <c r="H135" t="str">
        <f>IF('Raw File'!N135="H", "S", LEFT('Raw File'!N135, 1))</f>
        <v/>
      </c>
      <c r="J135" t="str">
        <f>IF('Raw File'!J135&gt;0,'Raw File'!J135," ")</f>
        <v xml:space="preserve"> </v>
      </c>
      <c r="L135" t="str">
        <f>IF('Raw File'!M135&gt;0,'Raw File'!M135," ")</f>
        <v xml:space="preserve"> </v>
      </c>
      <c r="M135" t="str">
        <f>IF('Raw File'!K135&gt;0,'Raw File'!K135," ")</f>
        <v xml:space="preserve"> </v>
      </c>
      <c r="N135" t="str">
        <f>IF('Raw File'!L135&gt;0,'Raw File'!L135," ")</f>
        <v xml:space="preserve"> </v>
      </c>
      <c r="U135" t="str">
        <f>IF('Raw File'!Q135&gt;0,'Raw File'!Q135," ")</f>
        <v xml:space="preserve"> </v>
      </c>
      <c r="Y135" t="str">
        <f>IF('Raw File'!C135&gt;0,'Raw File'!C135," ")</f>
        <v xml:space="preserve"> </v>
      </c>
      <c r="Z135" t="str">
        <f>IF('Raw File'!C135&gt;0, "A", " ")</f>
        <v xml:space="preserve"> </v>
      </c>
      <c r="AA135" t="str">
        <f>IF('Raw File'!C135&gt;0, "F", " ")</f>
        <v xml:space="preserve"> </v>
      </c>
      <c r="AB135" t="str">
        <f>IF('Raw File'!H135&gt;0,'Raw File'!H135," ")</f>
        <v xml:space="preserve"> </v>
      </c>
      <c r="AC135" s="11" t="str">
        <f>IF('Raw File'!C135&gt;0,IF(WhatColor('Raw File'!C135)&gt;10,8810,8018)," ")</f>
        <v xml:space="preserve"> </v>
      </c>
      <c r="AD135" s="1" t="str">
        <f>IF('Raw File'!C135&gt;0,'Raw File'!A135," ")</f>
        <v xml:space="preserve"> </v>
      </c>
      <c r="AE135" s="1" t="str">
        <f>IF('Raw File'!C135&gt;0,'Raw File'!A135," ")</f>
        <v xml:space="preserve"> </v>
      </c>
      <c r="AF135" s="1" t="str">
        <f>IF('Raw File'!C135&gt;0,'Raw File'!A135," ")</f>
        <v xml:space="preserve"> </v>
      </c>
      <c r="AG135" t="str">
        <f>IF('Raw File'!C135&gt;0,'Raw File'!C135, " ")</f>
        <v xml:space="preserve"> </v>
      </c>
      <c r="AQ135" t="str">
        <f>IF('Raw File'!G135&gt;0, IF('Raw File'!G135&lt;100, "H", "S"), " ")</f>
        <v xml:space="preserve"> </v>
      </c>
      <c r="AR135" t="str">
        <f>IF('Raw File'!G135&gt;0,'Raw File'!G135," ")</f>
        <v xml:space="preserve"> </v>
      </c>
      <c r="AT135" t="str">
        <f>IF('Raw File'!C135&gt;0,40," ")</f>
        <v xml:space="preserve"> </v>
      </c>
      <c r="AV135" t="str">
        <f>IF('Raw File'!N135= 0, " ", IF('Raw File'!N135="S", "SS", IF( 'Raw File'!N135= "M", "MJ", IF('Raw File'!N135= "H", "H"))))</f>
        <v xml:space="preserve"> </v>
      </c>
      <c r="AW135" s="12"/>
      <c r="AX135" t="str">
        <f>LEFT('Raw File'!P135,1)</f>
        <v/>
      </c>
      <c r="AY135" t="str">
        <f>LEFT('Raw File'!N135,1)</f>
        <v/>
      </c>
      <c r="AZ135">
        <f>IF('Raw File'!O135="exempt",99,IF('Raw File'!O135&gt;0,'Raw File'!O135/2000,IF('Raw File'!O135=0,'Raw File'!O135," ")))</f>
        <v>0</v>
      </c>
      <c r="BA135" t="str">
        <f>LEFT('Raw File'!P135,1)</f>
        <v/>
      </c>
      <c r="BJ135" t="str">
        <f>IF('Raw File'!C135&gt;0,"1"," ")</f>
        <v xml:space="preserve"> </v>
      </c>
      <c r="BX135" t="str">
        <f>IF('Raw File'!C135&gt;0,"WEEKLY"," ")</f>
        <v xml:space="preserve"> </v>
      </c>
      <c r="CA135" t="str">
        <f>IF('Raw File'!C135&gt;0, "N"," ")</f>
        <v xml:space="preserve"> </v>
      </c>
      <c r="CI135" t="str">
        <f>IF('Raw File'!C135&gt;0, "W", " ")</f>
        <v xml:space="preserve"> </v>
      </c>
      <c r="DN135" s="1" t="str">
        <f>IF('Raw File'!C135&gt;0,'Raw File'!A135," ")</f>
        <v xml:space="preserve"> </v>
      </c>
      <c r="GY135">
        <f>IF('Raw File'!O135=" "," ",IF('Raw File'!O135&gt;100,'Raw File'!O135,IF('Raw File'!O135="exempt","99999",IF('Raw File'!O135&lt;100, 'Raw File'!O135*2000, " "))))</f>
        <v>0</v>
      </c>
      <c r="HQ135" t="str">
        <f>IF('Raw File'!C135&gt;0,"1"," ")</f>
        <v xml:space="preserve"> </v>
      </c>
    </row>
    <row r="136" spans="1:225" x14ac:dyDescent="0.35">
      <c r="A136" t="str">
        <f>IF('Raw File'!E136&gt;0,'Raw File'!E136, " ")</f>
        <v xml:space="preserve"> </v>
      </c>
      <c r="B136" t="str">
        <f>IF('Raw File'!D136&gt;0,'Raw File'!D136," ")</f>
        <v xml:space="preserve"> </v>
      </c>
      <c r="C136" t="str">
        <f>IF('Raw File'!F136&gt;0,'Raw File'!F136, " ")</f>
        <v xml:space="preserve"> </v>
      </c>
      <c r="D136" s="1" t="str">
        <f>IF('Raw File'!R136&gt;0,'Raw File'!R136, " ")</f>
        <v xml:space="preserve"> </v>
      </c>
      <c r="E136" t="str">
        <f>IF('Raw File'!C136&gt;0, 296, " ")</f>
        <v xml:space="preserve"> </v>
      </c>
      <c r="F136" s="10" t="str">
        <f>IF('Raw File'!C136&gt;0, "5", " ")</f>
        <v xml:space="preserve"> </v>
      </c>
      <c r="G136" t="str">
        <f>IF('Raw File'!C136&gt;0, "X", " ")</f>
        <v xml:space="preserve"> </v>
      </c>
      <c r="H136" t="str">
        <f>IF('Raw File'!N136="H", "S", LEFT('Raw File'!N136, 1))</f>
        <v/>
      </c>
      <c r="J136" t="str">
        <f>IF('Raw File'!J136&gt;0,'Raw File'!J136," ")</f>
        <v xml:space="preserve"> </v>
      </c>
      <c r="L136" t="str">
        <f>IF('Raw File'!M136&gt;0,'Raw File'!M136," ")</f>
        <v xml:space="preserve"> </v>
      </c>
      <c r="M136" t="str">
        <f>IF('Raw File'!K136&gt;0,'Raw File'!K136," ")</f>
        <v xml:space="preserve"> </v>
      </c>
      <c r="N136" t="str">
        <f>IF('Raw File'!L136&gt;0,'Raw File'!L136," ")</f>
        <v xml:space="preserve"> </v>
      </c>
      <c r="U136" t="str">
        <f>IF('Raw File'!Q136&gt;0,'Raw File'!Q136," ")</f>
        <v xml:space="preserve"> </v>
      </c>
      <c r="Y136" t="str">
        <f>IF('Raw File'!C136&gt;0,'Raw File'!C136," ")</f>
        <v xml:space="preserve"> </v>
      </c>
      <c r="Z136" t="str">
        <f>IF('Raw File'!C136&gt;0, "A", " ")</f>
        <v xml:space="preserve"> </v>
      </c>
      <c r="AA136" t="str">
        <f>IF('Raw File'!C136&gt;0, "F", " ")</f>
        <v xml:space="preserve"> </v>
      </c>
      <c r="AB136" t="str">
        <f>IF('Raw File'!H136&gt;0,'Raw File'!H136," ")</f>
        <v xml:space="preserve"> </v>
      </c>
      <c r="AC136" s="11" t="str">
        <f>IF('Raw File'!C136&gt;0,IF(WhatColor('Raw File'!C136)&gt;10,8810,8018)," ")</f>
        <v xml:space="preserve"> </v>
      </c>
      <c r="AD136" s="1" t="str">
        <f>IF('Raw File'!C136&gt;0,'Raw File'!A136," ")</f>
        <v xml:space="preserve"> </v>
      </c>
      <c r="AE136" s="1" t="str">
        <f>IF('Raw File'!C136&gt;0,'Raw File'!A136," ")</f>
        <v xml:space="preserve"> </v>
      </c>
      <c r="AF136" s="1" t="str">
        <f>IF('Raw File'!C136&gt;0,'Raw File'!A136," ")</f>
        <v xml:space="preserve"> </v>
      </c>
      <c r="AG136" t="str">
        <f>IF('Raw File'!C136&gt;0,'Raw File'!C136, " ")</f>
        <v xml:space="preserve"> </v>
      </c>
      <c r="AQ136" t="str">
        <f>IF('Raw File'!G136&gt;0, IF('Raw File'!G136&lt;100, "H", "S"), " ")</f>
        <v xml:space="preserve"> </v>
      </c>
      <c r="AR136" t="str">
        <f>IF('Raw File'!G136&gt;0,'Raw File'!G136," ")</f>
        <v xml:space="preserve"> </v>
      </c>
      <c r="AT136" t="str">
        <f>IF('Raw File'!C136&gt;0,40," ")</f>
        <v xml:space="preserve"> </v>
      </c>
      <c r="AV136" t="str">
        <f>IF('Raw File'!N136= 0, " ", IF('Raw File'!N136="S", "SS", IF( 'Raw File'!N136= "M", "MJ", IF('Raw File'!N136= "H", "H"))))</f>
        <v xml:space="preserve"> </v>
      </c>
      <c r="AW136" s="12"/>
      <c r="AX136" t="str">
        <f>LEFT('Raw File'!P136,1)</f>
        <v/>
      </c>
      <c r="AY136" t="str">
        <f>LEFT('Raw File'!N136,1)</f>
        <v/>
      </c>
      <c r="AZ136">
        <f>IF('Raw File'!O136="exempt",99,IF('Raw File'!O136&gt;0,'Raw File'!O136/2000,IF('Raw File'!O136=0,'Raw File'!O136," ")))</f>
        <v>0</v>
      </c>
      <c r="BA136" t="str">
        <f>LEFT('Raw File'!P136,1)</f>
        <v/>
      </c>
      <c r="BJ136" t="str">
        <f>IF('Raw File'!C136&gt;0,"1"," ")</f>
        <v xml:space="preserve"> </v>
      </c>
      <c r="BX136" t="str">
        <f>IF('Raw File'!C136&gt;0,"WEEKLY"," ")</f>
        <v xml:space="preserve"> </v>
      </c>
      <c r="CA136" t="str">
        <f>IF('Raw File'!C136&gt;0, "N"," ")</f>
        <v xml:space="preserve"> </v>
      </c>
      <c r="CI136" t="str">
        <f>IF('Raw File'!C136&gt;0, "W", " ")</f>
        <v xml:space="preserve"> </v>
      </c>
      <c r="DN136" s="1" t="str">
        <f>IF('Raw File'!C136&gt;0,'Raw File'!A136," ")</f>
        <v xml:space="preserve"> </v>
      </c>
      <c r="GY136">
        <f>IF('Raw File'!O136=" "," ",IF('Raw File'!O136&gt;100,'Raw File'!O136,IF('Raw File'!O136="exempt","99999",IF('Raw File'!O136&lt;100, 'Raw File'!O136*2000, " "))))</f>
        <v>0</v>
      </c>
      <c r="HQ136" t="str">
        <f>IF('Raw File'!C136&gt;0,"1"," ")</f>
        <v xml:space="preserve"> </v>
      </c>
    </row>
    <row r="137" spans="1:225" x14ac:dyDescent="0.35">
      <c r="A137" t="str">
        <f>IF('Raw File'!E137&gt;0,'Raw File'!E137, " ")</f>
        <v xml:space="preserve"> </v>
      </c>
      <c r="B137" t="str">
        <f>IF('Raw File'!D137&gt;0,'Raw File'!D137," ")</f>
        <v xml:space="preserve"> </v>
      </c>
      <c r="C137" t="str">
        <f>IF('Raw File'!F137&gt;0,'Raw File'!F137, " ")</f>
        <v xml:space="preserve"> </v>
      </c>
      <c r="D137" s="1" t="str">
        <f>IF('Raw File'!R137&gt;0,'Raw File'!R137, " ")</f>
        <v xml:space="preserve"> </v>
      </c>
      <c r="E137" t="str">
        <f>IF('Raw File'!C137&gt;0, 296, " ")</f>
        <v xml:space="preserve"> </v>
      </c>
      <c r="F137" s="10" t="str">
        <f>IF('Raw File'!C137&gt;0, "5", " ")</f>
        <v xml:space="preserve"> </v>
      </c>
      <c r="G137" t="str">
        <f>IF('Raw File'!C137&gt;0, "X", " ")</f>
        <v xml:space="preserve"> </v>
      </c>
      <c r="H137" t="str">
        <f>IF('Raw File'!N137="H", "S", LEFT('Raw File'!N137, 1))</f>
        <v/>
      </c>
      <c r="J137" t="str">
        <f>IF('Raw File'!J137&gt;0,'Raw File'!J137," ")</f>
        <v xml:space="preserve"> </v>
      </c>
      <c r="L137" t="str">
        <f>IF('Raw File'!M137&gt;0,'Raw File'!M137," ")</f>
        <v xml:space="preserve"> </v>
      </c>
      <c r="M137" t="str">
        <f>IF('Raw File'!K137&gt;0,'Raw File'!K137," ")</f>
        <v xml:space="preserve"> </v>
      </c>
      <c r="N137" t="str">
        <f>IF('Raw File'!L137&gt;0,'Raw File'!L137," ")</f>
        <v xml:space="preserve"> </v>
      </c>
      <c r="U137" t="str">
        <f>IF('Raw File'!Q137&gt;0,'Raw File'!Q137," ")</f>
        <v xml:space="preserve"> </v>
      </c>
      <c r="Y137" t="str">
        <f>IF('Raw File'!C137&gt;0,'Raw File'!C137," ")</f>
        <v xml:space="preserve"> </v>
      </c>
      <c r="Z137" t="str">
        <f>IF('Raw File'!C137&gt;0, "A", " ")</f>
        <v xml:space="preserve"> </v>
      </c>
      <c r="AA137" t="str">
        <f>IF('Raw File'!C137&gt;0, "F", " ")</f>
        <v xml:space="preserve"> </v>
      </c>
      <c r="AB137" t="str">
        <f>IF('Raw File'!H137&gt;0,'Raw File'!H137," ")</f>
        <v xml:space="preserve"> </v>
      </c>
      <c r="AC137" s="11" t="str">
        <f>IF('Raw File'!C137&gt;0,IF(WhatColor('Raw File'!C137)&gt;10,8810,8018)," ")</f>
        <v xml:space="preserve"> </v>
      </c>
      <c r="AD137" s="1" t="str">
        <f>IF('Raw File'!C137&gt;0,'Raw File'!A137," ")</f>
        <v xml:space="preserve"> </v>
      </c>
      <c r="AE137" s="1" t="str">
        <f>IF('Raw File'!C137&gt;0,'Raw File'!A137," ")</f>
        <v xml:space="preserve"> </v>
      </c>
      <c r="AF137" s="1" t="str">
        <f>IF('Raw File'!C137&gt;0,'Raw File'!A137," ")</f>
        <v xml:space="preserve"> </v>
      </c>
      <c r="AG137" t="str">
        <f>IF('Raw File'!C137&gt;0,'Raw File'!C137, " ")</f>
        <v xml:space="preserve"> </v>
      </c>
      <c r="AQ137" t="str">
        <f>IF('Raw File'!G137&gt;0, IF('Raw File'!G137&lt;100, "H", "S"), " ")</f>
        <v xml:space="preserve"> </v>
      </c>
      <c r="AR137" t="str">
        <f>IF('Raw File'!G137&gt;0,'Raw File'!G137," ")</f>
        <v xml:space="preserve"> </v>
      </c>
      <c r="AT137" t="str">
        <f>IF('Raw File'!C137&gt;0,40," ")</f>
        <v xml:space="preserve"> </v>
      </c>
      <c r="AV137" t="str">
        <f>IF('Raw File'!N137= 0, " ", IF('Raw File'!N137="S", "SS", IF( 'Raw File'!N137= "M", "MJ", IF('Raw File'!N137= "H", "H"))))</f>
        <v xml:space="preserve"> </v>
      </c>
      <c r="AW137" s="12"/>
      <c r="AX137" t="str">
        <f>LEFT('Raw File'!P137,1)</f>
        <v/>
      </c>
      <c r="AY137" t="str">
        <f>LEFT('Raw File'!N137,1)</f>
        <v/>
      </c>
      <c r="AZ137">
        <f>IF('Raw File'!O137="exempt",99,IF('Raw File'!O137&gt;0,'Raw File'!O137/2000,IF('Raw File'!O137=0,'Raw File'!O137," ")))</f>
        <v>0</v>
      </c>
      <c r="BA137" t="str">
        <f>LEFT('Raw File'!P137,1)</f>
        <v/>
      </c>
      <c r="BJ137" t="str">
        <f>IF('Raw File'!C137&gt;0,"1"," ")</f>
        <v xml:space="preserve"> </v>
      </c>
      <c r="BX137" t="str">
        <f>IF('Raw File'!C137&gt;0,"WEEKLY"," ")</f>
        <v xml:space="preserve"> </v>
      </c>
      <c r="CA137" t="str">
        <f>IF('Raw File'!C137&gt;0, "N"," ")</f>
        <v xml:space="preserve"> </v>
      </c>
      <c r="CI137" t="str">
        <f>IF('Raw File'!C137&gt;0, "W", " ")</f>
        <v xml:space="preserve"> </v>
      </c>
      <c r="DN137" s="1" t="str">
        <f>IF('Raw File'!C137&gt;0,'Raw File'!A137," ")</f>
        <v xml:space="preserve"> </v>
      </c>
      <c r="GY137">
        <f>IF('Raw File'!O137=" "," ",IF('Raw File'!O137&gt;100,'Raw File'!O137,IF('Raw File'!O137="exempt","99999",IF('Raw File'!O137&lt;100, 'Raw File'!O137*2000, " "))))</f>
        <v>0</v>
      </c>
      <c r="HQ137" t="str">
        <f>IF('Raw File'!C137&gt;0,"1"," ")</f>
        <v xml:space="preserve"> </v>
      </c>
    </row>
    <row r="138" spans="1:225" x14ac:dyDescent="0.35">
      <c r="A138" t="str">
        <f>IF('Raw File'!E138&gt;0,'Raw File'!E138, " ")</f>
        <v xml:space="preserve"> </v>
      </c>
      <c r="B138" t="str">
        <f>IF('Raw File'!D138&gt;0,'Raw File'!D138," ")</f>
        <v xml:space="preserve"> </v>
      </c>
      <c r="C138" t="str">
        <f>IF('Raw File'!F138&gt;0,'Raw File'!F138, " ")</f>
        <v xml:space="preserve"> </v>
      </c>
      <c r="D138" s="1" t="str">
        <f>IF('Raw File'!R138&gt;0,'Raw File'!R138, " ")</f>
        <v xml:space="preserve"> </v>
      </c>
      <c r="E138" t="str">
        <f>IF('Raw File'!C138&gt;0, 296, " ")</f>
        <v xml:space="preserve"> </v>
      </c>
      <c r="F138" s="10" t="str">
        <f>IF('Raw File'!C138&gt;0, "5", " ")</f>
        <v xml:space="preserve"> </v>
      </c>
      <c r="G138" t="str">
        <f>IF('Raw File'!C138&gt;0, "X", " ")</f>
        <v xml:space="preserve"> </v>
      </c>
      <c r="H138" t="str">
        <f>IF('Raw File'!N138="H", "S", LEFT('Raw File'!N138, 1))</f>
        <v/>
      </c>
      <c r="J138" t="str">
        <f>IF('Raw File'!J138&gt;0,'Raw File'!J138," ")</f>
        <v xml:space="preserve"> </v>
      </c>
      <c r="L138" t="str">
        <f>IF('Raw File'!M138&gt;0,'Raw File'!M138," ")</f>
        <v xml:space="preserve"> </v>
      </c>
      <c r="M138" t="str">
        <f>IF('Raw File'!K138&gt;0,'Raw File'!K138," ")</f>
        <v xml:space="preserve"> </v>
      </c>
      <c r="N138" t="str">
        <f>IF('Raw File'!L138&gt;0,'Raw File'!L138," ")</f>
        <v xml:space="preserve"> </v>
      </c>
      <c r="U138" t="str">
        <f>IF('Raw File'!Q138&gt;0,'Raw File'!Q138," ")</f>
        <v xml:space="preserve"> </v>
      </c>
      <c r="Y138" t="str">
        <f>IF('Raw File'!C138&gt;0,'Raw File'!C138," ")</f>
        <v xml:space="preserve"> </v>
      </c>
      <c r="Z138" t="str">
        <f>IF('Raw File'!C138&gt;0, "A", " ")</f>
        <v xml:space="preserve"> </v>
      </c>
      <c r="AA138" t="str">
        <f>IF('Raw File'!C138&gt;0, "F", " ")</f>
        <v xml:space="preserve"> </v>
      </c>
      <c r="AB138" t="str">
        <f>IF('Raw File'!H138&gt;0,'Raw File'!H138," ")</f>
        <v xml:space="preserve"> </v>
      </c>
      <c r="AC138" s="11" t="str">
        <f>IF('Raw File'!C138&gt;0,IF(WhatColor('Raw File'!C138)&gt;10,8810,8018)," ")</f>
        <v xml:space="preserve"> </v>
      </c>
      <c r="AD138" s="1" t="str">
        <f>IF('Raw File'!C138&gt;0,'Raw File'!A138," ")</f>
        <v xml:space="preserve"> </v>
      </c>
      <c r="AE138" s="1" t="str">
        <f>IF('Raw File'!C138&gt;0,'Raw File'!A138," ")</f>
        <v xml:space="preserve"> </v>
      </c>
      <c r="AF138" s="1" t="str">
        <f>IF('Raw File'!C138&gt;0,'Raw File'!A138," ")</f>
        <v xml:space="preserve"> </v>
      </c>
      <c r="AG138" t="str">
        <f>IF('Raw File'!C138&gt;0,'Raw File'!C138, " ")</f>
        <v xml:space="preserve"> </v>
      </c>
      <c r="AQ138" t="str">
        <f>IF('Raw File'!G138&gt;0, IF('Raw File'!G138&lt;100, "H", "S"), " ")</f>
        <v xml:space="preserve"> </v>
      </c>
      <c r="AR138" t="str">
        <f>IF('Raw File'!G138&gt;0,'Raw File'!G138," ")</f>
        <v xml:space="preserve"> </v>
      </c>
      <c r="AT138" t="str">
        <f>IF('Raw File'!C138&gt;0,40," ")</f>
        <v xml:space="preserve"> </v>
      </c>
      <c r="AV138" t="str">
        <f>IF('Raw File'!N138= 0, " ", IF('Raw File'!N138="S", "SS", IF( 'Raw File'!N138= "M", "MJ", IF('Raw File'!N138= "H", "H"))))</f>
        <v xml:space="preserve"> </v>
      </c>
      <c r="AW138" s="12"/>
      <c r="AX138" t="str">
        <f>LEFT('Raw File'!P138,1)</f>
        <v/>
      </c>
      <c r="AY138" t="str">
        <f>LEFT('Raw File'!N138,1)</f>
        <v/>
      </c>
      <c r="AZ138">
        <f>IF('Raw File'!O138="exempt",99,IF('Raw File'!O138&gt;0,'Raw File'!O138/2000,IF('Raw File'!O138=0,'Raw File'!O138," ")))</f>
        <v>0</v>
      </c>
      <c r="BA138" t="str">
        <f>LEFT('Raw File'!P138,1)</f>
        <v/>
      </c>
      <c r="BJ138" t="str">
        <f>IF('Raw File'!C138&gt;0,"1"," ")</f>
        <v xml:space="preserve"> </v>
      </c>
      <c r="BX138" t="str">
        <f>IF('Raw File'!C138&gt;0,"WEEKLY"," ")</f>
        <v xml:space="preserve"> </v>
      </c>
      <c r="CA138" t="str">
        <f>IF('Raw File'!C138&gt;0, "N"," ")</f>
        <v xml:space="preserve"> </v>
      </c>
      <c r="CI138" t="str">
        <f>IF('Raw File'!C138&gt;0, "W", " ")</f>
        <v xml:space="preserve"> </v>
      </c>
      <c r="DN138" s="1" t="str">
        <f>IF('Raw File'!C138&gt;0,'Raw File'!A138," ")</f>
        <v xml:space="preserve"> </v>
      </c>
      <c r="GY138">
        <f>IF('Raw File'!O138=" "," ",IF('Raw File'!O138&gt;100,'Raw File'!O138,IF('Raw File'!O138="exempt","99999",IF('Raw File'!O138&lt;100, 'Raw File'!O138*2000, " "))))</f>
        <v>0</v>
      </c>
      <c r="HQ138" t="str">
        <f>IF('Raw File'!C138&gt;0,"1"," ")</f>
        <v xml:space="preserve"> </v>
      </c>
    </row>
    <row r="139" spans="1:225" x14ac:dyDescent="0.35">
      <c r="A139" t="str">
        <f>IF('Raw File'!E139&gt;0,'Raw File'!E139, " ")</f>
        <v xml:space="preserve"> </v>
      </c>
      <c r="B139" t="str">
        <f>IF('Raw File'!D139&gt;0,'Raw File'!D139," ")</f>
        <v xml:space="preserve"> </v>
      </c>
      <c r="C139" t="str">
        <f>IF('Raw File'!F139&gt;0,'Raw File'!F139, " ")</f>
        <v xml:space="preserve"> </v>
      </c>
      <c r="D139" s="1" t="str">
        <f>IF('Raw File'!R139&gt;0,'Raw File'!R139, " ")</f>
        <v xml:space="preserve"> </v>
      </c>
      <c r="E139" t="str">
        <f>IF('Raw File'!C139&gt;0, 296, " ")</f>
        <v xml:space="preserve"> </v>
      </c>
      <c r="F139" s="10" t="str">
        <f>IF('Raw File'!C139&gt;0, "5", " ")</f>
        <v xml:space="preserve"> </v>
      </c>
      <c r="G139" t="str">
        <f>IF('Raw File'!C139&gt;0, "X", " ")</f>
        <v xml:space="preserve"> </v>
      </c>
      <c r="H139" t="str">
        <f>IF('Raw File'!N139="H", "S", LEFT('Raw File'!N139, 1))</f>
        <v/>
      </c>
      <c r="J139" t="str">
        <f>IF('Raw File'!J139&gt;0,'Raw File'!J139," ")</f>
        <v xml:space="preserve"> </v>
      </c>
      <c r="L139" t="str">
        <f>IF('Raw File'!M139&gt;0,'Raw File'!M139," ")</f>
        <v xml:space="preserve"> </v>
      </c>
      <c r="M139" t="str">
        <f>IF('Raw File'!K139&gt;0,'Raw File'!K139," ")</f>
        <v xml:space="preserve"> </v>
      </c>
      <c r="N139" t="str">
        <f>IF('Raw File'!L139&gt;0,'Raw File'!L139," ")</f>
        <v xml:space="preserve"> </v>
      </c>
      <c r="U139" t="str">
        <f>IF('Raw File'!Q139&gt;0,'Raw File'!Q139," ")</f>
        <v xml:space="preserve"> </v>
      </c>
      <c r="Y139" t="str">
        <f>IF('Raw File'!C139&gt;0,'Raw File'!C139," ")</f>
        <v xml:space="preserve"> </v>
      </c>
      <c r="Z139" t="str">
        <f>IF('Raw File'!C139&gt;0, "A", " ")</f>
        <v xml:space="preserve"> </v>
      </c>
      <c r="AA139" t="str">
        <f>IF('Raw File'!C139&gt;0, "F", " ")</f>
        <v xml:space="preserve"> </v>
      </c>
      <c r="AB139" t="str">
        <f>IF('Raw File'!H139&gt;0,'Raw File'!H139," ")</f>
        <v xml:space="preserve"> </v>
      </c>
      <c r="AC139" s="11" t="str">
        <f>IF('Raw File'!C139&gt;0,IF(WhatColor('Raw File'!C139)&gt;10,8810,8018)," ")</f>
        <v xml:space="preserve"> </v>
      </c>
      <c r="AD139" s="1" t="str">
        <f>IF('Raw File'!C139&gt;0,'Raw File'!A139," ")</f>
        <v xml:space="preserve"> </v>
      </c>
      <c r="AE139" s="1" t="str">
        <f>IF('Raw File'!C139&gt;0,'Raw File'!A139," ")</f>
        <v xml:space="preserve"> </v>
      </c>
      <c r="AF139" s="1" t="str">
        <f>IF('Raw File'!C139&gt;0,'Raw File'!A139," ")</f>
        <v xml:space="preserve"> </v>
      </c>
      <c r="AG139" t="str">
        <f>IF('Raw File'!C139&gt;0,'Raw File'!C139, " ")</f>
        <v xml:space="preserve"> </v>
      </c>
      <c r="AQ139" t="str">
        <f>IF('Raw File'!G139&gt;0, IF('Raw File'!G139&lt;100, "H", "S"), " ")</f>
        <v xml:space="preserve"> </v>
      </c>
      <c r="AR139" t="str">
        <f>IF('Raw File'!G139&gt;0,'Raw File'!G139," ")</f>
        <v xml:space="preserve"> </v>
      </c>
      <c r="AT139" t="str">
        <f>IF('Raw File'!C139&gt;0,40," ")</f>
        <v xml:space="preserve"> </v>
      </c>
      <c r="AV139" t="str">
        <f>IF('Raw File'!N139= 0, " ", IF('Raw File'!N139="S", "SS", IF( 'Raw File'!N139= "M", "MJ", IF('Raw File'!N139= "H", "H"))))</f>
        <v xml:space="preserve"> </v>
      </c>
      <c r="AW139" s="12"/>
      <c r="AX139" t="str">
        <f>LEFT('Raw File'!P139,1)</f>
        <v/>
      </c>
      <c r="AY139" t="str">
        <f>LEFT('Raw File'!N139,1)</f>
        <v/>
      </c>
      <c r="AZ139">
        <f>IF('Raw File'!O139="exempt",99,IF('Raw File'!O139&gt;0,'Raw File'!O139/2000,IF('Raw File'!O139=0,'Raw File'!O139," ")))</f>
        <v>0</v>
      </c>
      <c r="BA139" t="str">
        <f>LEFT('Raw File'!P139,1)</f>
        <v/>
      </c>
      <c r="BJ139" t="str">
        <f>IF('Raw File'!C139&gt;0,"1"," ")</f>
        <v xml:space="preserve"> </v>
      </c>
      <c r="BX139" t="str">
        <f>IF('Raw File'!C139&gt;0,"WEEKLY"," ")</f>
        <v xml:space="preserve"> </v>
      </c>
      <c r="CA139" t="str">
        <f>IF('Raw File'!C139&gt;0, "N"," ")</f>
        <v xml:space="preserve"> </v>
      </c>
      <c r="CI139" t="str">
        <f>IF('Raw File'!C139&gt;0, "W", " ")</f>
        <v xml:space="preserve"> </v>
      </c>
      <c r="DN139" s="1" t="str">
        <f>IF('Raw File'!C139&gt;0,'Raw File'!A139," ")</f>
        <v xml:space="preserve"> </v>
      </c>
      <c r="GY139">
        <f>IF('Raw File'!O139=" "," ",IF('Raw File'!O139&gt;100,'Raw File'!O139,IF('Raw File'!O139="exempt","99999",IF('Raw File'!O139&lt;100, 'Raw File'!O139*2000, " "))))</f>
        <v>0</v>
      </c>
      <c r="HQ139" t="str">
        <f>IF('Raw File'!C139&gt;0,"1"," ")</f>
        <v xml:space="preserve"> </v>
      </c>
    </row>
    <row r="140" spans="1:225" x14ac:dyDescent="0.35">
      <c r="A140" t="str">
        <f>IF('Raw File'!E140&gt;0,'Raw File'!E140, " ")</f>
        <v xml:space="preserve"> </v>
      </c>
      <c r="B140" t="str">
        <f>IF('Raw File'!D140&gt;0,'Raw File'!D140," ")</f>
        <v xml:space="preserve"> </v>
      </c>
      <c r="C140" t="str">
        <f>IF('Raw File'!F140&gt;0,'Raw File'!F140, " ")</f>
        <v xml:space="preserve"> </v>
      </c>
      <c r="D140" s="1" t="str">
        <f>IF('Raw File'!R140&gt;0,'Raw File'!R140, " ")</f>
        <v xml:space="preserve"> </v>
      </c>
      <c r="E140" t="str">
        <f>IF('Raw File'!C140&gt;0, 296, " ")</f>
        <v xml:space="preserve"> </v>
      </c>
      <c r="F140" s="10" t="str">
        <f>IF('Raw File'!C140&gt;0, "5", " ")</f>
        <v xml:space="preserve"> </v>
      </c>
      <c r="G140" t="str">
        <f>IF('Raw File'!C140&gt;0, "X", " ")</f>
        <v xml:space="preserve"> </v>
      </c>
      <c r="H140" t="str">
        <f>IF('Raw File'!N140="H", "S", LEFT('Raw File'!N140, 1))</f>
        <v/>
      </c>
      <c r="J140" t="str">
        <f>IF('Raw File'!J140&gt;0,'Raw File'!J140," ")</f>
        <v xml:space="preserve"> </v>
      </c>
      <c r="L140" t="str">
        <f>IF('Raw File'!M140&gt;0,'Raw File'!M140," ")</f>
        <v xml:space="preserve"> </v>
      </c>
      <c r="M140" t="str">
        <f>IF('Raw File'!K140&gt;0,'Raw File'!K140," ")</f>
        <v xml:space="preserve"> </v>
      </c>
      <c r="N140" t="str">
        <f>IF('Raw File'!L140&gt;0,'Raw File'!L140," ")</f>
        <v xml:space="preserve"> </v>
      </c>
      <c r="U140" t="str">
        <f>IF('Raw File'!Q140&gt;0,'Raw File'!Q140," ")</f>
        <v xml:space="preserve"> </v>
      </c>
      <c r="Y140" t="str">
        <f>IF('Raw File'!C140&gt;0,'Raw File'!C140," ")</f>
        <v xml:space="preserve"> </v>
      </c>
      <c r="Z140" t="str">
        <f>IF('Raw File'!C140&gt;0, "A", " ")</f>
        <v xml:space="preserve"> </v>
      </c>
      <c r="AA140" t="str">
        <f>IF('Raw File'!C140&gt;0, "F", " ")</f>
        <v xml:space="preserve"> </v>
      </c>
      <c r="AB140" t="str">
        <f>IF('Raw File'!H140&gt;0,'Raw File'!H140," ")</f>
        <v xml:space="preserve"> </v>
      </c>
      <c r="AC140" s="11" t="str">
        <f>IF('Raw File'!C140&gt;0,IF(WhatColor('Raw File'!C140)&gt;10,8810,8018)," ")</f>
        <v xml:space="preserve"> </v>
      </c>
      <c r="AD140" s="1" t="str">
        <f>IF('Raw File'!C140&gt;0,'Raw File'!A140," ")</f>
        <v xml:space="preserve"> </v>
      </c>
      <c r="AE140" s="1" t="str">
        <f>IF('Raw File'!C140&gt;0,'Raw File'!A140," ")</f>
        <v xml:space="preserve"> </v>
      </c>
      <c r="AF140" s="1" t="str">
        <f>IF('Raw File'!C140&gt;0,'Raw File'!A140," ")</f>
        <v xml:space="preserve"> </v>
      </c>
      <c r="AG140" t="str">
        <f>IF('Raw File'!C140&gt;0,'Raw File'!C140, " ")</f>
        <v xml:space="preserve"> </v>
      </c>
      <c r="AQ140" t="str">
        <f>IF('Raw File'!G140&gt;0, IF('Raw File'!G140&lt;100, "H", "S"), " ")</f>
        <v xml:space="preserve"> </v>
      </c>
      <c r="AR140" t="str">
        <f>IF('Raw File'!G140&gt;0,'Raw File'!G140," ")</f>
        <v xml:space="preserve"> </v>
      </c>
      <c r="AT140" t="str">
        <f>IF('Raw File'!C140&gt;0,40," ")</f>
        <v xml:space="preserve"> </v>
      </c>
      <c r="AV140" t="str">
        <f>IF('Raw File'!N140= 0, " ", IF('Raw File'!N140="S", "SS", IF( 'Raw File'!N140= "M", "MJ", IF('Raw File'!N140= "H", "H"))))</f>
        <v xml:space="preserve"> </v>
      </c>
      <c r="AW140" s="12"/>
      <c r="AX140" t="str">
        <f>LEFT('Raw File'!P140,1)</f>
        <v/>
      </c>
      <c r="AY140" t="str">
        <f>LEFT('Raw File'!N140,1)</f>
        <v/>
      </c>
      <c r="AZ140">
        <f>IF('Raw File'!O140="exempt",99,IF('Raw File'!O140&gt;0,'Raw File'!O140/2000,IF('Raw File'!O140=0,'Raw File'!O140," ")))</f>
        <v>0</v>
      </c>
      <c r="BA140" t="str">
        <f>LEFT('Raw File'!P140,1)</f>
        <v/>
      </c>
      <c r="BJ140" t="str">
        <f>IF('Raw File'!C140&gt;0,"1"," ")</f>
        <v xml:space="preserve"> </v>
      </c>
      <c r="BX140" t="str">
        <f>IF('Raw File'!C140&gt;0,"WEEKLY"," ")</f>
        <v xml:space="preserve"> </v>
      </c>
      <c r="CA140" t="str">
        <f>IF('Raw File'!C140&gt;0, "N"," ")</f>
        <v xml:space="preserve"> </v>
      </c>
      <c r="CI140" t="str">
        <f>IF('Raw File'!C140&gt;0, "W", " ")</f>
        <v xml:space="preserve"> </v>
      </c>
      <c r="DN140" s="1" t="str">
        <f>IF('Raw File'!C140&gt;0,'Raw File'!A140," ")</f>
        <v xml:space="preserve"> </v>
      </c>
      <c r="GY140">
        <f>IF('Raw File'!O140=" "," ",IF('Raw File'!O140&gt;100,'Raw File'!O140,IF('Raw File'!O140="exempt","99999",IF('Raw File'!O140&lt;100, 'Raw File'!O140*2000, " "))))</f>
        <v>0</v>
      </c>
      <c r="HQ140" t="str">
        <f>IF('Raw File'!C140&gt;0,"1"," ")</f>
        <v xml:space="preserve"> </v>
      </c>
    </row>
    <row r="141" spans="1:225" x14ac:dyDescent="0.35">
      <c r="A141" t="str">
        <f>IF('Raw File'!E141&gt;0,'Raw File'!E141, " ")</f>
        <v xml:space="preserve"> </v>
      </c>
      <c r="B141" t="str">
        <f>IF('Raw File'!D141&gt;0,'Raw File'!D141," ")</f>
        <v xml:space="preserve"> </v>
      </c>
      <c r="C141" t="str">
        <f>IF('Raw File'!F141&gt;0,'Raw File'!F141, " ")</f>
        <v xml:space="preserve"> </v>
      </c>
      <c r="D141" s="1" t="str">
        <f>IF('Raw File'!R141&gt;0,'Raw File'!R141, " ")</f>
        <v xml:space="preserve"> </v>
      </c>
      <c r="E141" t="str">
        <f>IF('Raw File'!C141&gt;0, 296, " ")</f>
        <v xml:space="preserve"> </v>
      </c>
      <c r="F141" s="10" t="str">
        <f>IF('Raw File'!C141&gt;0, "5", " ")</f>
        <v xml:space="preserve"> </v>
      </c>
      <c r="G141" t="str">
        <f>IF('Raw File'!C141&gt;0, "X", " ")</f>
        <v xml:space="preserve"> </v>
      </c>
      <c r="H141" t="str">
        <f>IF('Raw File'!N141="H", "S", LEFT('Raw File'!N141, 1))</f>
        <v/>
      </c>
      <c r="J141" t="str">
        <f>IF('Raw File'!J141&gt;0,'Raw File'!J141," ")</f>
        <v xml:space="preserve"> </v>
      </c>
      <c r="L141" t="str">
        <f>IF('Raw File'!M141&gt;0,'Raw File'!M141," ")</f>
        <v xml:space="preserve"> </v>
      </c>
      <c r="M141" t="str">
        <f>IF('Raw File'!K141&gt;0,'Raw File'!K141," ")</f>
        <v xml:space="preserve"> </v>
      </c>
      <c r="N141" t="str">
        <f>IF('Raw File'!L141&gt;0,'Raw File'!L141," ")</f>
        <v xml:space="preserve"> </v>
      </c>
      <c r="U141" t="str">
        <f>IF('Raw File'!Q141&gt;0,'Raw File'!Q141," ")</f>
        <v xml:space="preserve"> </v>
      </c>
      <c r="Y141" t="str">
        <f>IF('Raw File'!C141&gt;0,'Raw File'!C141," ")</f>
        <v xml:space="preserve"> </v>
      </c>
      <c r="Z141" t="str">
        <f>IF('Raw File'!C141&gt;0, "A", " ")</f>
        <v xml:space="preserve"> </v>
      </c>
      <c r="AA141" t="str">
        <f>IF('Raw File'!C141&gt;0, "F", " ")</f>
        <v xml:space="preserve"> </v>
      </c>
      <c r="AB141" t="str">
        <f>IF('Raw File'!H141&gt;0,'Raw File'!H141," ")</f>
        <v xml:space="preserve"> </v>
      </c>
      <c r="AC141" s="11" t="str">
        <f>IF('Raw File'!C141&gt;0,IF(WhatColor('Raw File'!C141)&gt;10,8810,8018)," ")</f>
        <v xml:space="preserve"> </v>
      </c>
      <c r="AD141" s="1" t="str">
        <f>IF('Raw File'!C141&gt;0,'Raw File'!A141," ")</f>
        <v xml:space="preserve"> </v>
      </c>
      <c r="AE141" s="1" t="str">
        <f>IF('Raw File'!C141&gt;0,'Raw File'!A141," ")</f>
        <v xml:space="preserve"> </v>
      </c>
      <c r="AF141" s="1" t="str">
        <f>IF('Raw File'!C141&gt;0,'Raw File'!A141," ")</f>
        <v xml:space="preserve"> </v>
      </c>
      <c r="AG141" t="str">
        <f>IF('Raw File'!C141&gt;0,'Raw File'!C141, " ")</f>
        <v xml:space="preserve"> </v>
      </c>
      <c r="AQ141" t="str">
        <f>IF('Raw File'!G141&gt;0, IF('Raw File'!G141&lt;100, "H", "S"), " ")</f>
        <v xml:space="preserve"> </v>
      </c>
      <c r="AR141" t="str">
        <f>IF('Raw File'!G141&gt;0,'Raw File'!G141," ")</f>
        <v xml:space="preserve"> </v>
      </c>
      <c r="AT141" t="str">
        <f>IF('Raw File'!C141&gt;0,40," ")</f>
        <v xml:space="preserve"> </v>
      </c>
      <c r="AV141" t="str">
        <f>IF('Raw File'!N141= 0, " ", IF('Raw File'!N141="S", "SS", IF( 'Raw File'!N141= "M", "MJ", IF('Raw File'!N141= "H", "H"))))</f>
        <v xml:space="preserve"> </v>
      </c>
      <c r="AW141" s="12"/>
      <c r="AX141" t="str">
        <f>LEFT('Raw File'!P141,1)</f>
        <v/>
      </c>
      <c r="AY141" t="str">
        <f>LEFT('Raw File'!N141,1)</f>
        <v/>
      </c>
      <c r="AZ141">
        <f>IF('Raw File'!O141="exempt",99,IF('Raw File'!O141&gt;0,'Raw File'!O141/2000,IF('Raw File'!O141=0,'Raw File'!O141," ")))</f>
        <v>0</v>
      </c>
      <c r="BA141" t="str">
        <f>LEFT('Raw File'!P141,1)</f>
        <v/>
      </c>
      <c r="BJ141" t="str">
        <f>IF('Raw File'!C141&gt;0,"1"," ")</f>
        <v xml:space="preserve"> </v>
      </c>
      <c r="BX141" t="str">
        <f>IF('Raw File'!C141&gt;0,"WEEKLY"," ")</f>
        <v xml:space="preserve"> </v>
      </c>
      <c r="CA141" t="str">
        <f>IF('Raw File'!C141&gt;0, "N"," ")</f>
        <v xml:space="preserve"> </v>
      </c>
      <c r="CI141" t="str">
        <f>IF('Raw File'!C141&gt;0, "W", " ")</f>
        <v xml:space="preserve"> </v>
      </c>
      <c r="DN141" s="1" t="str">
        <f>IF('Raw File'!C141&gt;0,'Raw File'!A141," ")</f>
        <v xml:space="preserve"> </v>
      </c>
      <c r="GY141">
        <f>IF('Raw File'!O141=" "," ",IF('Raw File'!O141&gt;100,'Raw File'!O141,IF('Raw File'!O141="exempt","99999",IF('Raw File'!O141&lt;100, 'Raw File'!O141*2000, " "))))</f>
        <v>0</v>
      </c>
      <c r="HQ141" t="str">
        <f>IF('Raw File'!C141&gt;0,"1"," ")</f>
        <v xml:space="preserve"> </v>
      </c>
    </row>
    <row r="142" spans="1:225" x14ac:dyDescent="0.35">
      <c r="A142" t="str">
        <f>IF('Raw File'!E142&gt;0,'Raw File'!E142, " ")</f>
        <v xml:space="preserve"> </v>
      </c>
      <c r="B142" t="str">
        <f>IF('Raw File'!D142&gt;0,'Raw File'!D142," ")</f>
        <v xml:space="preserve"> </v>
      </c>
      <c r="C142" t="str">
        <f>IF('Raw File'!F142&gt;0,'Raw File'!F142, " ")</f>
        <v xml:space="preserve"> </v>
      </c>
      <c r="D142" s="1" t="str">
        <f>IF('Raw File'!R142&gt;0,'Raw File'!R142, " ")</f>
        <v xml:space="preserve"> </v>
      </c>
      <c r="E142" t="str">
        <f>IF('Raw File'!C142&gt;0, 296, " ")</f>
        <v xml:space="preserve"> </v>
      </c>
      <c r="F142" s="10" t="str">
        <f>IF('Raw File'!C142&gt;0, "5", " ")</f>
        <v xml:space="preserve"> </v>
      </c>
      <c r="G142" t="str">
        <f>IF('Raw File'!C142&gt;0, "X", " ")</f>
        <v xml:space="preserve"> </v>
      </c>
      <c r="H142" t="str">
        <f>IF('Raw File'!N142="H", "S", LEFT('Raw File'!N142, 1))</f>
        <v/>
      </c>
      <c r="J142" t="str">
        <f>IF('Raw File'!J142&gt;0,'Raw File'!J142," ")</f>
        <v xml:space="preserve"> </v>
      </c>
      <c r="L142" t="str">
        <f>IF('Raw File'!M142&gt;0,'Raw File'!M142," ")</f>
        <v xml:space="preserve"> </v>
      </c>
      <c r="M142" t="str">
        <f>IF('Raw File'!K142&gt;0,'Raw File'!K142," ")</f>
        <v xml:space="preserve"> </v>
      </c>
      <c r="N142" t="str">
        <f>IF('Raw File'!L142&gt;0,'Raw File'!L142," ")</f>
        <v xml:space="preserve"> </v>
      </c>
      <c r="U142" t="str">
        <f>IF('Raw File'!Q142&gt;0,'Raw File'!Q142," ")</f>
        <v xml:space="preserve"> </v>
      </c>
      <c r="Y142" t="str">
        <f>IF('Raw File'!C142&gt;0,'Raw File'!C142," ")</f>
        <v xml:space="preserve"> </v>
      </c>
      <c r="Z142" t="str">
        <f>IF('Raw File'!C142&gt;0, "A", " ")</f>
        <v xml:space="preserve"> </v>
      </c>
      <c r="AA142" t="str">
        <f>IF('Raw File'!C142&gt;0, "F", " ")</f>
        <v xml:space="preserve"> </v>
      </c>
      <c r="AB142" t="str">
        <f>IF('Raw File'!H142&gt;0,'Raw File'!H142," ")</f>
        <v xml:space="preserve"> </v>
      </c>
      <c r="AC142" s="11" t="str">
        <f>IF('Raw File'!C142&gt;0,IF(WhatColor('Raw File'!C142)&gt;10,8810,8018)," ")</f>
        <v xml:space="preserve"> </v>
      </c>
      <c r="AD142" s="1" t="str">
        <f>IF('Raw File'!C142&gt;0,'Raw File'!A142," ")</f>
        <v xml:space="preserve"> </v>
      </c>
      <c r="AE142" s="1" t="str">
        <f>IF('Raw File'!C142&gt;0,'Raw File'!A142," ")</f>
        <v xml:space="preserve"> </v>
      </c>
      <c r="AF142" s="1" t="str">
        <f>IF('Raw File'!C142&gt;0,'Raw File'!A142," ")</f>
        <v xml:space="preserve"> </v>
      </c>
      <c r="AG142" t="str">
        <f>IF('Raw File'!C142&gt;0,'Raw File'!C142, " ")</f>
        <v xml:space="preserve"> </v>
      </c>
      <c r="AQ142" t="str">
        <f>IF('Raw File'!G142&gt;0, IF('Raw File'!G142&lt;100, "H", "S"), " ")</f>
        <v xml:space="preserve"> </v>
      </c>
      <c r="AR142" t="str">
        <f>IF('Raw File'!G142&gt;0,'Raw File'!G142," ")</f>
        <v xml:space="preserve"> </v>
      </c>
      <c r="AT142" t="str">
        <f>IF('Raw File'!C142&gt;0,40," ")</f>
        <v xml:space="preserve"> </v>
      </c>
      <c r="AV142" t="str">
        <f>IF('Raw File'!N142= 0, " ", IF('Raw File'!N142="S", "SS", IF( 'Raw File'!N142= "M", "MJ", IF('Raw File'!N142= "H", "H"))))</f>
        <v xml:space="preserve"> </v>
      </c>
      <c r="AW142" s="12"/>
      <c r="AX142" t="str">
        <f>LEFT('Raw File'!P142,1)</f>
        <v/>
      </c>
      <c r="AY142" t="str">
        <f>LEFT('Raw File'!N142,1)</f>
        <v/>
      </c>
      <c r="AZ142">
        <f>IF('Raw File'!O142="exempt",99,IF('Raw File'!O142&gt;0,'Raw File'!O142/2000,IF('Raw File'!O142=0,'Raw File'!O142," ")))</f>
        <v>0</v>
      </c>
      <c r="BA142" t="str">
        <f>LEFT('Raw File'!P142,1)</f>
        <v/>
      </c>
      <c r="BJ142" t="str">
        <f>IF('Raw File'!C142&gt;0,"1"," ")</f>
        <v xml:space="preserve"> </v>
      </c>
      <c r="BX142" t="str">
        <f>IF('Raw File'!C142&gt;0,"WEEKLY"," ")</f>
        <v xml:space="preserve"> </v>
      </c>
      <c r="CA142" t="str">
        <f>IF('Raw File'!C142&gt;0, "N"," ")</f>
        <v xml:space="preserve"> </v>
      </c>
      <c r="CI142" t="str">
        <f>IF('Raw File'!C142&gt;0, "W", " ")</f>
        <v xml:space="preserve"> </v>
      </c>
      <c r="DN142" s="1" t="str">
        <f>IF('Raw File'!C142&gt;0,'Raw File'!A142," ")</f>
        <v xml:space="preserve"> </v>
      </c>
      <c r="GY142">
        <f>IF('Raw File'!O142=" "," ",IF('Raw File'!O142&gt;100,'Raw File'!O142,IF('Raw File'!O142="exempt","99999",IF('Raw File'!O142&lt;100, 'Raw File'!O142*2000, " "))))</f>
        <v>0</v>
      </c>
      <c r="HQ142" t="str">
        <f>IF('Raw File'!C142&gt;0,"1"," ")</f>
        <v xml:space="preserve"> </v>
      </c>
    </row>
    <row r="143" spans="1:225" x14ac:dyDescent="0.35">
      <c r="A143" t="str">
        <f>IF('Raw File'!E143&gt;0,'Raw File'!E143, " ")</f>
        <v xml:space="preserve"> </v>
      </c>
      <c r="B143" t="str">
        <f>IF('Raw File'!D143&gt;0,'Raw File'!D143," ")</f>
        <v xml:space="preserve"> </v>
      </c>
      <c r="C143" t="str">
        <f>IF('Raw File'!F143&gt;0,'Raw File'!F143, " ")</f>
        <v xml:space="preserve"> </v>
      </c>
      <c r="D143" s="1" t="str">
        <f>IF('Raw File'!R143&gt;0,'Raw File'!R143, " ")</f>
        <v xml:space="preserve"> </v>
      </c>
      <c r="E143" t="str">
        <f>IF('Raw File'!C143&gt;0, 296, " ")</f>
        <v xml:space="preserve"> </v>
      </c>
      <c r="F143" s="10" t="str">
        <f>IF('Raw File'!C143&gt;0, "5", " ")</f>
        <v xml:space="preserve"> </v>
      </c>
      <c r="G143" t="str">
        <f>IF('Raw File'!C143&gt;0, "X", " ")</f>
        <v xml:space="preserve"> </v>
      </c>
      <c r="H143" t="str">
        <f>IF('Raw File'!N143="H", "S", LEFT('Raw File'!N143, 1))</f>
        <v/>
      </c>
      <c r="J143" t="str">
        <f>IF('Raw File'!J143&gt;0,'Raw File'!J143," ")</f>
        <v xml:space="preserve"> </v>
      </c>
      <c r="L143" t="str">
        <f>IF('Raw File'!M143&gt;0,'Raw File'!M143," ")</f>
        <v xml:space="preserve"> </v>
      </c>
      <c r="M143" t="str">
        <f>IF('Raw File'!K143&gt;0,'Raw File'!K143," ")</f>
        <v xml:space="preserve"> </v>
      </c>
      <c r="N143" t="str">
        <f>IF('Raw File'!L143&gt;0,'Raw File'!L143," ")</f>
        <v xml:space="preserve"> </v>
      </c>
      <c r="U143" t="str">
        <f>IF('Raw File'!Q143&gt;0,'Raw File'!Q143," ")</f>
        <v xml:space="preserve"> </v>
      </c>
      <c r="Y143" t="str">
        <f>IF('Raw File'!C143&gt;0,'Raw File'!C143," ")</f>
        <v xml:space="preserve"> </v>
      </c>
      <c r="Z143" t="str">
        <f>IF('Raw File'!C143&gt;0, "A", " ")</f>
        <v xml:space="preserve"> </v>
      </c>
      <c r="AA143" t="str">
        <f>IF('Raw File'!C143&gt;0, "F", " ")</f>
        <v xml:space="preserve"> </v>
      </c>
      <c r="AB143" t="str">
        <f>IF('Raw File'!H143&gt;0,'Raw File'!H143," ")</f>
        <v xml:space="preserve"> </v>
      </c>
      <c r="AC143" s="11" t="str">
        <f>IF('Raw File'!C143&gt;0,IF(WhatColor('Raw File'!C143)&gt;10,8810,8018)," ")</f>
        <v xml:space="preserve"> </v>
      </c>
      <c r="AD143" s="1" t="str">
        <f>IF('Raw File'!C143&gt;0,'Raw File'!A143," ")</f>
        <v xml:space="preserve"> </v>
      </c>
      <c r="AE143" s="1" t="str">
        <f>IF('Raw File'!C143&gt;0,'Raw File'!A143," ")</f>
        <v xml:space="preserve"> </v>
      </c>
      <c r="AF143" s="1" t="str">
        <f>IF('Raw File'!C143&gt;0,'Raw File'!A143," ")</f>
        <v xml:space="preserve"> </v>
      </c>
      <c r="AG143" t="str">
        <f>IF('Raw File'!C143&gt;0,'Raw File'!C143, " ")</f>
        <v xml:space="preserve"> </v>
      </c>
      <c r="AQ143" t="str">
        <f>IF('Raw File'!G143&gt;0, IF('Raw File'!G143&lt;100, "H", "S"), " ")</f>
        <v xml:space="preserve"> </v>
      </c>
      <c r="AR143" t="str">
        <f>IF('Raw File'!G143&gt;0,'Raw File'!G143," ")</f>
        <v xml:space="preserve"> </v>
      </c>
      <c r="AT143" t="str">
        <f>IF('Raw File'!C143&gt;0,40," ")</f>
        <v xml:space="preserve"> </v>
      </c>
      <c r="AV143" t="str">
        <f>IF('Raw File'!N143= 0, " ", IF('Raw File'!N143="S", "SS", IF( 'Raw File'!N143= "M", "MJ", IF('Raw File'!N143= "H", "H"))))</f>
        <v xml:space="preserve"> </v>
      </c>
      <c r="AW143" s="12"/>
      <c r="AX143" t="str">
        <f>LEFT('Raw File'!P143,1)</f>
        <v/>
      </c>
      <c r="AY143" t="str">
        <f>LEFT('Raw File'!N143,1)</f>
        <v/>
      </c>
      <c r="AZ143">
        <f>IF('Raw File'!O143="exempt",99,IF('Raw File'!O143&gt;0,'Raw File'!O143/2000,IF('Raw File'!O143=0,'Raw File'!O143," ")))</f>
        <v>0</v>
      </c>
      <c r="BA143" t="str">
        <f>LEFT('Raw File'!P143,1)</f>
        <v/>
      </c>
      <c r="BJ143" t="str">
        <f>IF('Raw File'!C143&gt;0,"1"," ")</f>
        <v xml:space="preserve"> </v>
      </c>
      <c r="BX143" t="str">
        <f>IF('Raw File'!C143&gt;0,"WEEKLY"," ")</f>
        <v xml:space="preserve"> </v>
      </c>
      <c r="CA143" t="str">
        <f>IF('Raw File'!C143&gt;0, "N"," ")</f>
        <v xml:space="preserve"> </v>
      </c>
      <c r="CI143" t="str">
        <f>IF('Raw File'!C143&gt;0, "W", " ")</f>
        <v xml:space="preserve"> </v>
      </c>
      <c r="DN143" s="1" t="str">
        <f>IF('Raw File'!C143&gt;0,'Raw File'!A143," ")</f>
        <v xml:space="preserve"> </v>
      </c>
      <c r="GY143">
        <f>IF('Raw File'!O143=" "," ",IF('Raw File'!O143&gt;100,'Raw File'!O143,IF('Raw File'!O143="exempt","99999",IF('Raw File'!O143&lt;100, 'Raw File'!O143*2000, " "))))</f>
        <v>0</v>
      </c>
      <c r="HQ143" t="str">
        <f>IF('Raw File'!C143&gt;0,"1"," ")</f>
        <v xml:space="preserve"> </v>
      </c>
    </row>
    <row r="144" spans="1:225" x14ac:dyDescent="0.35">
      <c r="A144" t="str">
        <f>IF('Raw File'!E144&gt;0,'Raw File'!E144, " ")</f>
        <v xml:space="preserve"> </v>
      </c>
      <c r="B144" t="str">
        <f>IF('Raw File'!D144&gt;0,'Raw File'!D144," ")</f>
        <v xml:space="preserve"> </v>
      </c>
      <c r="C144" t="str">
        <f>IF('Raw File'!F144&gt;0,'Raw File'!F144, " ")</f>
        <v xml:space="preserve"> </v>
      </c>
      <c r="D144" s="1" t="str">
        <f>IF('Raw File'!R144&gt;0,'Raw File'!R144, " ")</f>
        <v xml:space="preserve"> </v>
      </c>
      <c r="E144" t="str">
        <f>IF('Raw File'!C144&gt;0, 296, " ")</f>
        <v xml:space="preserve"> </v>
      </c>
      <c r="F144" s="10" t="str">
        <f>IF('Raw File'!C144&gt;0, "5", " ")</f>
        <v xml:space="preserve"> </v>
      </c>
      <c r="G144" t="str">
        <f>IF('Raw File'!C144&gt;0, "X", " ")</f>
        <v xml:space="preserve"> </v>
      </c>
      <c r="H144" t="str">
        <f>IF('Raw File'!N144="H", "S", LEFT('Raw File'!N144, 1))</f>
        <v/>
      </c>
      <c r="J144" t="str">
        <f>IF('Raw File'!J144&gt;0,'Raw File'!J144," ")</f>
        <v xml:space="preserve"> </v>
      </c>
      <c r="L144" t="str">
        <f>IF('Raw File'!M144&gt;0,'Raw File'!M144," ")</f>
        <v xml:space="preserve"> </v>
      </c>
      <c r="M144" t="str">
        <f>IF('Raw File'!K144&gt;0,'Raw File'!K144," ")</f>
        <v xml:space="preserve"> </v>
      </c>
      <c r="N144" t="str">
        <f>IF('Raw File'!L144&gt;0,'Raw File'!L144," ")</f>
        <v xml:space="preserve"> </v>
      </c>
      <c r="U144" t="str">
        <f>IF('Raw File'!Q144&gt;0,'Raw File'!Q144," ")</f>
        <v xml:space="preserve"> </v>
      </c>
      <c r="Y144" t="str">
        <f>IF('Raw File'!C144&gt;0,'Raw File'!C144," ")</f>
        <v xml:space="preserve"> </v>
      </c>
      <c r="Z144" t="str">
        <f>IF('Raw File'!C144&gt;0, "A", " ")</f>
        <v xml:space="preserve"> </v>
      </c>
      <c r="AA144" t="str">
        <f>IF('Raw File'!C144&gt;0, "F", " ")</f>
        <v xml:space="preserve"> </v>
      </c>
      <c r="AB144" t="str">
        <f>IF('Raw File'!H144&gt;0,'Raw File'!H144," ")</f>
        <v xml:space="preserve"> </v>
      </c>
      <c r="AC144" s="11" t="str">
        <f>IF('Raw File'!C144&gt;0,IF(WhatColor('Raw File'!C144)&gt;10,8810,8018)," ")</f>
        <v xml:space="preserve"> </v>
      </c>
      <c r="AD144" s="1" t="str">
        <f>IF('Raw File'!C144&gt;0,'Raw File'!A144," ")</f>
        <v xml:space="preserve"> </v>
      </c>
      <c r="AE144" s="1" t="str">
        <f>IF('Raw File'!C144&gt;0,'Raw File'!A144," ")</f>
        <v xml:space="preserve"> </v>
      </c>
      <c r="AF144" s="1" t="str">
        <f>IF('Raw File'!C144&gt;0,'Raw File'!A144," ")</f>
        <v xml:space="preserve"> </v>
      </c>
      <c r="AG144" t="str">
        <f>IF('Raw File'!C144&gt;0,'Raw File'!C144, " ")</f>
        <v xml:space="preserve"> </v>
      </c>
      <c r="AQ144" t="str">
        <f>IF('Raw File'!G144&gt;0, IF('Raw File'!G144&lt;100, "H", "S"), " ")</f>
        <v xml:space="preserve"> </v>
      </c>
      <c r="AR144" t="str">
        <f>IF('Raw File'!G144&gt;0,'Raw File'!G144," ")</f>
        <v xml:space="preserve"> </v>
      </c>
      <c r="AT144" t="str">
        <f>IF('Raw File'!C144&gt;0,40," ")</f>
        <v xml:space="preserve"> </v>
      </c>
      <c r="AV144" t="str">
        <f>IF('Raw File'!N144= 0, " ", IF('Raw File'!N144="S", "SS", IF( 'Raw File'!N144= "M", "MJ", IF('Raw File'!N144= "H", "H"))))</f>
        <v xml:space="preserve"> </v>
      </c>
      <c r="AW144" s="12"/>
      <c r="AX144" t="str">
        <f>LEFT('Raw File'!P144,1)</f>
        <v/>
      </c>
      <c r="AY144" t="str">
        <f>LEFT('Raw File'!N144,1)</f>
        <v/>
      </c>
      <c r="AZ144">
        <f>IF('Raw File'!O144="exempt",99,IF('Raw File'!O144&gt;0,'Raw File'!O144/2000,IF('Raw File'!O144=0,'Raw File'!O144," ")))</f>
        <v>0</v>
      </c>
      <c r="BA144" t="str">
        <f>LEFT('Raw File'!P144,1)</f>
        <v/>
      </c>
      <c r="BJ144" t="str">
        <f>IF('Raw File'!C144&gt;0,"1"," ")</f>
        <v xml:space="preserve"> </v>
      </c>
      <c r="BX144" t="str">
        <f>IF('Raw File'!C144&gt;0,"WEEKLY"," ")</f>
        <v xml:space="preserve"> </v>
      </c>
      <c r="CA144" t="str">
        <f>IF('Raw File'!C144&gt;0, "N"," ")</f>
        <v xml:space="preserve"> </v>
      </c>
      <c r="CI144" t="str">
        <f>IF('Raw File'!C144&gt;0, "W", " ")</f>
        <v xml:space="preserve"> </v>
      </c>
      <c r="DN144" s="1" t="str">
        <f>IF('Raw File'!C144&gt;0,'Raw File'!A144," ")</f>
        <v xml:space="preserve"> </v>
      </c>
      <c r="GY144">
        <f>IF('Raw File'!O144=" "," ",IF('Raw File'!O144&gt;100,'Raw File'!O144,IF('Raw File'!O144="exempt","99999",IF('Raw File'!O144&lt;100, 'Raw File'!O144*2000, " "))))</f>
        <v>0</v>
      </c>
      <c r="HQ144" t="str">
        <f>IF('Raw File'!C144&gt;0,"1"," ")</f>
        <v xml:space="preserve"> </v>
      </c>
    </row>
    <row r="145" spans="1:225" x14ac:dyDescent="0.35">
      <c r="A145" t="str">
        <f>IF('Raw File'!E145&gt;0,'Raw File'!E145, " ")</f>
        <v xml:space="preserve"> </v>
      </c>
      <c r="B145" t="str">
        <f>IF('Raw File'!D145&gt;0,'Raw File'!D145," ")</f>
        <v xml:space="preserve"> </v>
      </c>
      <c r="C145" t="str">
        <f>IF('Raw File'!F145&gt;0,'Raw File'!F145, " ")</f>
        <v xml:space="preserve"> </v>
      </c>
      <c r="D145" s="1" t="str">
        <f>IF('Raw File'!R145&gt;0,'Raw File'!R145, " ")</f>
        <v xml:space="preserve"> </v>
      </c>
      <c r="E145" t="str">
        <f>IF('Raw File'!C145&gt;0, 296, " ")</f>
        <v xml:space="preserve"> </v>
      </c>
      <c r="F145" s="10" t="str">
        <f>IF('Raw File'!C145&gt;0, "5", " ")</f>
        <v xml:space="preserve"> </v>
      </c>
      <c r="G145" t="str">
        <f>IF('Raw File'!C145&gt;0, "X", " ")</f>
        <v xml:space="preserve"> </v>
      </c>
      <c r="H145" t="str">
        <f>IF('Raw File'!N145="H", "S", LEFT('Raw File'!N145, 1))</f>
        <v/>
      </c>
      <c r="J145" t="str">
        <f>IF('Raw File'!J145&gt;0,'Raw File'!J145," ")</f>
        <v xml:space="preserve"> </v>
      </c>
      <c r="L145" t="str">
        <f>IF('Raw File'!M145&gt;0,'Raw File'!M145," ")</f>
        <v xml:space="preserve"> </v>
      </c>
      <c r="M145" t="str">
        <f>IF('Raw File'!K145&gt;0,'Raw File'!K145," ")</f>
        <v xml:space="preserve"> </v>
      </c>
      <c r="N145" t="str">
        <f>IF('Raw File'!L145&gt;0,'Raw File'!L145," ")</f>
        <v xml:space="preserve"> </v>
      </c>
      <c r="U145" t="str">
        <f>IF('Raw File'!Q145&gt;0,'Raw File'!Q145," ")</f>
        <v xml:space="preserve"> </v>
      </c>
      <c r="Y145" t="str">
        <f>IF('Raw File'!C145&gt;0,'Raw File'!C145," ")</f>
        <v xml:space="preserve"> </v>
      </c>
      <c r="Z145" t="str">
        <f>IF('Raw File'!C145&gt;0, "A", " ")</f>
        <v xml:space="preserve"> </v>
      </c>
      <c r="AA145" t="str">
        <f>IF('Raw File'!C145&gt;0, "F", " ")</f>
        <v xml:space="preserve"> </v>
      </c>
      <c r="AB145" t="str">
        <f>IF('Raw File'!H145&gt;0,'Raw File'!H145," ")</f>
        <v xml:space="preserve"> </v>
      </c>
      <c r="AC145" s="11" t="str">
        <f>IF('Raw File'!C145&gt;0,IF(WhatColor('Raw File'!C145)&gt;10,8810,8018)," ")</f>
        <v xml:space="preserve"> </v>
      </c>
      <c r="AD145" s="1" t="str">
        <f>IF('Raw File'!C145&gt;0,'Raw File'!A145," ")</f>
        <v xml:space="preserve"> </v>
      </c>
      <c r="AE145" s="1" t="str">
        <f>IF('Raw File'!C145&gt;0,'Raw File'!A145," ")</f>
        <v xml:space="preserve"> </v>
      </c>
      <c r="AF145" s="1" t="str">
        <f>IF('Raw File'!C145&gt;0,'Raw File'!A145," ")</f>
        <v xml:space="preserve"> </v>
      </c>
      <c r="AG145" t="str">
        <f>IF('Raw File'!C145&gt;0,'Raw File'!C145, " ")</f>
        <v xml:space="preserve"> </v>
      </c>
      <c r="AQ145" t="str">
        <f>IF('Raw File'!G145&gt;0, IF('Raw File'!G145&lt;100, "H", "S"), " ")</f>
        <v xml:space="preserve"> </v>
      </c>
      <c r="AR145" t="str">
        <f>IF('Raw File'!G145&gt;0,'Raw File'!G145," ")</f>
        <v xml:space="preserve"> </v>
      </c>
      <c r="AT145" t="str">
        <f>IF('Raw File'!C145&gt;0,40," ")</f>
        <v xml:space="preserve"> </v>
      </c>
      <c r="AV145" t="str">
        <f>IF('Raw File'!N145= 0, " ", IF('Raw File'!N145="S", "SS", IF( 'Raw File'!N145= "M", "MJ", IF('Raw File'!N145= "H", "H"))))</f>
        <v xml:space="preserve"> </v>
      </c>
      <c r="AW145" s="12"/>
      <c r="AX145" t="str">
        <f>LEFT('Raw File'!P145,1)</f>
        <v/>
      </c>
      <c r="AY145" t="str">
        <f>LEFT('Raw File'!N145,1)</f>
        <v/>
      </c>
      <c r="AZ145">
        <f>IF('Raw File'!O145="exempt",99,IF('Raw File'!O145&gt;0,'Raw File'!O145/2000,IF('Raw File'!O145=0,'Raw File'!O145," ")))</f>
        <v>0</v>
      </c>
      <c r="BA145" t="str">
        <f>LEFT('Raw File'!P145,1)</f>
        <v/>
      </c>
      <c r="BJ145" t="str">
        <f>IF('Raw File'!C145&gt;0,"1"," ")</f>
        <v xml:space="preserve"> </v>
      </c>
      <c r="BX145" t="str">
        <f>IF('Raw File'!C145&gt;0,"WEEKLY"," ")</f>
        <v xml:space="preserve"> </v>
      </c>
      <c r="CA145" t="str">
        <f>IF('Raw File'!C145&gt;0, "N"," ")</f>
        <v xml:space="preserve"> </v>
      </c>
      <c r="CI145" t="str">
        <f>IF('Raw File'!C145&gt;0, "W", " ")</f>
        <v xml:space="preserve"> </v>
      </c>
      <c r="DN145" s="1" t="str">
        <f>IF('Raw File'!C145&gt;0,'Raw File'!A145," ")</f>
        <v xml:space="preserve"> </v>
      </c>
      <c r="GY145">
        <f>IF('Raw File'!O145=" "," ",IF('Raw File'!O145&gt;100,'Raw File'!O145,IF('Raw File'!O145="exempt","99999",IF('Raw File'!O145&lt;100, 'Raw File'!O145*2000, " "))))</f>
        <v>0</v>
      </c>
      <c r="HQ145" t="str">
        <f>IF('Raw File'!C145&gt;0,"1"," ")</f>
        <v xml:space="preserve"> </v>
      </c>
    </row>
    <row r="146" spans="1:225" x14ac:dyDescent="0.35">
      <c r="A146" t="str">
        <f>IF('Raw File'!E146&gt;0,'Raw File'!E146, " ")</f>
        <v xml:space="preserve"> </v>
      </c>
      <c r="B146" t="str">
        <f>IF('Raw File'!D146&gt;0,'Raw File'!D146," ")</f>
        <v xml:space="preserve"> </v>
      </c>
      <c r="C146" t="str">
        <f>IF('Raw File'!F146&gt;0,'Raw File'!F146, " ")</f>
        <v xml:space="preserve"> </v>
      </c>
      <c r="D146" s="1" t="str">
        <f>IF('Raw File'!R146&gt;0,'Raw File'!R146, " ")</f>
        <v xml:space="preserve"> </v>
      </c>
      <c r="E146" t="str">
        <f>IF('Raw File'!C146&gt;0, 296, " ")</f>
        <v xml:space="preserve"> </v>
      </c>
      <c r="F146" s="10" t="str">
        <f>IF('Raw File'!C146&gt;0, "5", " ")</f>
        <v xml:space="preserve"> </v>
      </c>
      <c r="G146" t="str">
        <f>IF('Raw File'!C146&gt;0, "X", " ")</f>
        <v xml:space="preserve"> </v>
      </c>
      <c r="H146" t="str">
        <f>IF('Raw File'!N146="H", "S", LEFT('Raw File'!N146, 1))</f>
        <v/>
      </c>
      <c r="J146" t="str">
        <f>IF('Raw File'!J146&gt;0,'Raw File'!J146," ")</f>
        <v xml:space="preserve"> </v>
      </c>
      <c r="L146" t="str">
        <f>IF('Raw File'!M146&gt;0,'Raw File'!M146," ")</f>
        <v xml:space="preserve"> </v>
      </c>
      <c r="M146" t="str">
        <f>IF('Raw File'!K146&gt;0,'Raw File'!K146," ")</f>
        <v xml:space="preserve"> </v>
      </c>
      <c r="N146" t="str">
        <f>IF('Raw File'!L146&gt;0,'Raw File'!L146," ")</f>
        <v xml:space="preserve"> </v>
      </c>
      <c r="U146" t="str">
        <f>IF('Raw File'!Q146&gt;0,'Raw File'!Q146," ")</f>
        <v xml:space="preserve"> </v>
      </c>
      <c r="Y146" t="str">
        <f>IF('Raw File'!C146&gt;0,'Raw File'!C146," ")</f>
        <v xml:space="preserve"> </v>
      </c>
      <c r="Z146" t="str">
        <f>IF('Raw File'!C146&gt;0, "A", " ")</f>
        <v xml:space="preserve"> </v>
      </c>
      <c r="AA146" t="str">
        <f>IF('Raw File'!C146&gt;0, "F", " ")</f>
        <v xml:space="preserve"> </v>
      </c>
      <c r="AB146" t="str">
        <f>IF('Raw File'!H146&gt;0,'Raw File'!H146," ")</f>
        <v xml:space="preserve"> </v>
      </c>
      <c r="AC146" s="11" t="str">
        <f>IF('Raw File'!C146&gt;0,IF(WhatColor('Raw File'!C146)&gt;10,8810,8018)," ")</f>
        <v xml:space="preserve"> </v>
      </c>
      <c r="AD146" s="1" t="str">
        <f>IF('Raw File'!C146&gt;0,'Raw File'!A146," ")</f>
        <v xml:space="preserve"> </v>
      </c>
      <c r="AE146" s="1" t="str">
        <f>IF('Raw File'!C146&gt;0,'Raw File'!A146," ")</f>
        <v xml:space="preserve"> </v>
      </c>
      <c r="AF146" s="1" t="str">
        <f>IF('Raw File'!C146&gt;0,'Raw File'!A146," ")</f>
        <v xml:space="preserve"> </v>
      </c>
      <c r="AG146" t="str">
        <f>IF('Raw File'!C146&gt;0,'Raw File'!C146, " ")</f>
        <v xml:space="preserve"> </v>
      </c>
      <c r="AQ146" t="str">
        <f>IF('Raw File'!G146&gt;0, IF('Raw File'!G146&lt;100, "H", "S"), " ")</f>
        <v xml:space="preserve"> </v>
      </c>
      <c r="AR146" t="str">
        <f>IF('Raw File'!G146&gt;0,'Raw File'!G146," ")</f>
        <v xml:space="preserve"> </v>
      </c>
      <c r="AT146" t="str">
        <f>IF('Raw File'!C146&gt;0,40," ")</f>
        <v xml:space="preserve"> </v>
      </c>
      <c r="AV146" t="str">
        <f>IF('Raw File'!N146= 0, " ", IF('Raw File'!N146="S", "SS", IF( 'Raw File'!N146= "M", "MJ", IF('Raw File'!N146= "H", "H"))))</f>
        <v xml:space="preserve"> </v>
      </c>
      <c r="AW146" s="12"/>
      <c r="AX146" t="str">
        <f>LEFT('Raw File'!P146,1)</f>
        <v/>
      </c>
      <c r="AY146" t="str">
        <f>LEFT('Raw File'!N146,1)</f>
        <v/>
      </c>
      <c r="AZ146">
        <f>IF('Raw File'!O146="exempt",99,IF('Raw File'!O146&gt;0,'Raw File'!O146/2000,IF('Raw File'!O146=0,'Raw File'!O146," ")))</f>
        <v>0</v>
      </c>
      <c r="BA146" t="str">
        <f>LEFT('Raw File'!P146,1)</f>
        <v/>
      </c>
      <c r="BJ146" t="str">
        <f>IF('Raw File'!C146&gt;0,"1"," ")</f>
        <v xml:space="preserve"> </v>
      </c>
      <c r="BX146" t="str">
        <f>IF('Raw File'!C146&gt;0,"WEEKLY"," ")</f>
        <v xml:space="preserve"> </v>
      </c>
      <c r="CA146" t="str">
        <f>IF('Raw File'!C146&gt;0, "N"," ")</f>
        <v xml:space="preserve"> </v>
      </c>
      <c r="CI146" t="str">
        <f>IF('Raw File'!C146&gt;0, "W", " ")</f>
        <v xml:space="preserve"> </v>
      </c>
      <c r="DN146" s="1" t="str">
        <f>IF('Raw File'!C146&gt;0,'Raw File'!A146," ")</f>
        <v xml:space="preserve"> </v>
      </c>
      <c r="GY146">
        <f>IF('Raw File'!O146=" "," ",IF('Raw File'!O146&gt;100,'Raw File'!O146,IF('Raw File'!O146="exempt","99999",IF('Raw File'!O146&lt;100, 'Raw File'!O146*2000, " "))))</f>
        <v>0</v>
      </c>
      <c r="HQ146" t="str">
        <f>IF('Raw File'!C146&gt;0,"1"," ")</f>
        <v xml:space="preserve"> </v>
      </c>
    </row>
    <row r="147" spans="1:225" x14ac:dyDescent="0.35">
      <c r="A147" t="str">
        <f>IF('Raw File'!E147&gt;0,'Raw File'!E147, " ")</f>
        <v xml:space="preserve"> </v>
      </c>
      <c r="B147" t="str">
        <f>IF('Raw File'!D147&gt;0,'Raw File'!D147," ")</f>
        <v xml:space="preserve"> </v>
      </c>
      <c r="C147" t="str">
        <f>IF('Raw File'!F147&gt;0,'Raw File'!F147, " ")</f>
        <v xml:space="preserve"> </v>
      </c>
      <c r="D147" s="1" t="str">
        <f>IF('Raw File'!R147&gt;0,'Raw File'!R147, " ")</f>
        <v xml:space="preserve"> </v>
      </c>
      <c r="E147" t="str">
        <f>IF('Raw File'!C147&gt;0, 296, " ")</f>
        <v xml:space="preserve"> </v>
      </c>
      <c r="F147" s="10" t="str">
        <f>IF('Raw File'!C147&gt;0, "5", " ")</f>
        <v xml:space="preserve"> </v>
      </c>
      <c r="G147" t="str">
        <f>IF('Raw File'!C147&gt;0, "X", " ")</f>
        <v xml:space="preserve"> </v>
      </c>
      <c r="H147" t="str">
        <f>IF('Raw File'!N147="H", "S", LEFT('Raw File'!N147, 1))</f>
        <v/>
      </c>
      <c r="J147" t="str">
        <f>IF('Raw File'!J147&gt;0,'Raw File'!J147," ")</f>
        <v xml:space="preserve"> </v>
      </c>
      <c r="L147" t="str">
        <f>IF('Raw File'!M147&gt;0,'Raw File'!M147," ")</f>
        <v xml:space="preserve"> </v>
      </c>
      <c r="M147" t="str">
        <f>IF('Raw File'!K147&gt;0,'Raw File'!K147," ")</f>
        <v xml:space="preserve"> </v>
      </c>
      <c r="N147" t="str">
        <f>IF('Raw File'!L147&gt;0,'Raw File'!L147," ")</f>
        <v xml:space="preserve"> </v>
      </c>
      <c r="U147" t="str">
        <f>IF('Raw File'!Q147&gt;0,'Raw File'!Q147," ")</f>
        <v xml:space="preserve"> </v>
      </c>
      <c r="Y147" t="str">
        <f>IF('Raw File'!C147&gt;0,'Raw File'!C147," ")</f>
        <v xml:space="preserve"> </v>
      </c>
      <c r="Z147" t="str">
        <f>IF('Raw File'!C147&gt;0, "A", " ")</f>
        <v xml:space="preserve"> </v>
      </c>
      <c r="AA147" t="str">
        <f>IF('Raw File'!C147&gt;0, "F", " ")</f>
        <v xml:space="preserve"> </v>
      </c>
      <c r="AB147" t="str">
        <f>IF('Raw File'!H147&gt;0,'Raw File'!H147," ")</f>
        <v xml:space="preserve"> </v>
      </c>
      <c r="AC147" s="11" t="str">
        <f>IF('Raw File'!C147&gt;0,IF(WhatColor('Raw File'!C147)&gt;10,8810,8018)," ")</f>
        <v xml:space="preserve"> </v>
      </c>
      <c r="AD147" s="1" t="str">
        <f>IF('Raw File'!C147&gt;0,'Raw File'!A147," ")</f>
        <v xml:space="preserve"> </v>
      </c>
      <c r="AE147" s="1" t="str">
        <f>IF('Raw File'!C147&gt;0,'Raw File'!A147," ")</f>
        <v xml:space="preserve"> </v>
      </c>
      <c r="AF147" s="1" t="str">
        <f>IF('Raw File'!C147&gt;0,'Raw File'!A147," ")</f>
        <v xml:space="preserve"> </v>
      </c>
      <c r="AG147" t="str">
        <f>IF('Raw File'!C147&gt;0,'Raw File'!C147, " ")</f>
        <v xml:space="preserve"> </v>
      </c>
      <c r="AQ147" t="str">
        <f>IF('Raw File'!G147&gt;0, IF('Raw File'!G147&lt;100, "H", "S"), " ")</f>
        <v xml:space="preserve"> </v>
      </c>
      <c r="AR147" t="str">
        <f>IF('Raw File'!G147&gt;0,'Raw File'!G147," ")</f>
        <v xml:space="preserve"> </v>
      </c>
      <c r="AT147" t="str">
        <f>IF('Raw File'!C147&gt;0,40," ")</f>
        <v xml:space="preserve"> </v>
      </c>
      <c r="AV147" t="str">
        <f>IF('Raw File'!N147= 0, " ", IF('Raw File'!N147="S", "SS", IF( 'Raw File'!N147= "M", "MJ", IF('Raw File'!N147= "H", "H"))))</f>
        <v xml:space="preserve"> </v>
      </c>
      <c r="AW147" s="12"/>
      <c r="AX147" t="str">
        <f>LEFT('Raw File'!P147,1)</f>
        <v/>
      </c>
      <c r="AY147" t="str">
        <f>LEFT('Raw File'!N147,1)</f>
        <v/>
      </c>
      <c r="AZ147">
        <f>IF('Raw File'!O147="exempt",99,IF('Raw File'!O147&gt;0,'Raw File'!O147/2000,IF('Raw File'!O147=0,'Raw File'!O147," ")))</f>
        <v>0</v>
      </c>
      <c r="BA147" t="str">
        <f>LEFT('Raw File'!P147,1)</f>
        <v/>
      </c>
      <c r="BJ147" t="str">
        <f>IF('Raw File'!C147&gt;0,"1"," ")</f>
        <v xml:space="preserve"> </v>
      </c>
      <c r="BX147" t="str">
        <f>IF('Raw File'!C147&gt;0,"WEEKLY"," ")</f>
        <v xml:space="preserve"> </v>
      </c>
      <c r="CA147" t="str">
        <f>IF('Raw File'!C147&gt;0, "N"," ")</f>
        <v xml:space="preserve"> </v>
      </c>
      <c r="CI147" t="str">
        <f>IF('Raw File'!C147&gt;0, "W", " ")</f>
        <v xml:space="preserve"> </v>
      </c>
      <c r="DN147" s="1" t="str">
        <f>IF('Raw File'!C147&gt;0,'Raw File'!A147," ")</f>
        <v xml:space="preserve"> </v>
      </c>
      <c r="GY147">
        <f>IF('Raw File'!O147=" "," ",IF('Raw File'!O147&gt;100,'Raw File'!O147,IF('Raw File'!O147="exempt","99999",IF('Raw File'!O147&lt;100, 'Raw File'!O147*2000, " "))))</f>
        <v>0</v>
      </c>
      <c r="HQ147" t="str">
        <f>IF('Raw File'!C147&gt;0,"1"," ")</f>
        <v xml:space="preserve"> </v>
      </c>
    </row>
    <row r="148" spans="1:225" x14ac:dyDescent="0.35">
      <c r="A148" t="str">
        <f>IF('Raw File'!E148&gt;0,'Raw File'!E148, " ")</f>
        <v xml:space="preserve"> </v>
      </c>
      <c r="B148" t="str">
        <f>IF('Raw File'!D148&gt;0,'Raw File'!D148," ")</f>
        <v xml:space="preserve"> </v>
      </c>
      <c r="C148" t="str">
        <f>IF('Raw File'!F148&gt;0,'Raw File'!F148, " ")</f>
        <v xml:space="preserve"> </v>
      </c>
      <c r="D148" s="1" t="str">
        <f>IF('Raw File'!R148&gt;0,'Raw File'!R148, " ")</f>
        <v xml:space="preserve"> </v>
      </c>
      <c r="E148" t="str">
        <f>IF('Raw File'!C148&gt;0, 296, " ")</f>
        <v xml:space="preserve"> </v>
      </c>
      <c r="F148" s="10" t="str">
        <f>IF('Raw File'!C148&gt;0, "5", " ")</f>
        <v xml:space="preserve"> </v>
      </c>
      <c r="G148" t="str">
        <f>IF('Raw File'!C148&gt;0, "X", " ")</f>
        <v xml:space="preserve"> </v>
      </c>
      <c r="H148" t="str">
        <f>IF('Raw File'!N148="H", "S", LEFT('Raw File'!N148, 1))</f>
        <v/>
      </c>
      <c r="J148" t="str">
        <f>IF('Raw File'!J148&gt;0,'Raw File'!J148," ")</f>
        <v xml:space="preserve"> </v>
      </c>
      <c r="L148" t="str">
        <f>IF('Raw File'!M148&gt;0,'Raw File'!M148," ")</f>
        <v xml:space="preserve"> </v>
      </c>
      <c r="M148" t="str">
        <f>IF('Raw File'!K148&gt;0,'Raw File'!K148," ")</f>
        <v xml:space="preserve"> </v>
      </c>
      <c r="N148" t="str">
        <f>IF('Raw File'!L148&gt;0,'Raw File'!L148," ")</f>
        <v xml:space="preserve"> </v>
      </c>
      <c r="U148" t="str">
        <f>IF('Raw File'!Q148&gt;0,'Raw File'!Q148," ")</f>
        <v xml:space="preserve"> </v>
      </c>
      <c r="Y148" t="str">
        <f>IF('Raw File'!C148&gt;0,'Raw File'!C148," ")</f>
        <v xml:space="preserve"> </v>
      </c>
      <c r="Z148" t="str">
        <f>IF('Raw File'!C148&gt;0, "A", " ")</f>
        <v xml:space="preserve"> </v>
      </c>
      <c r="AA148" t="str">
        <f>IF('Raw File'!C148&gt;0, "F", " ")</f>
        <v xml:space="preserve"> </v>
      </c>
      <c r="AB148" t="str">
        <f>IF('Raw File'!H148&gt;0,'Raw File'!H148," ")</f>
        <v xml:space="preserve"> </v>
      </c>
      <c r="AC148" s="11" t="str">
        <f>IF('Raw File'!C148&gt;0,IF(WhatColor('Raw File'!C148)&gt;10,8810,8018)," ")</f>
        <v xml:space="preserve"> </v>
      </c>
      <c r="AD148" s="1" t="str">
        <f>IF('Raw File'!C148&gt;0,'Raw File'!A148," ")</f>
        <v xml:space="preserve"> </v>
      </c>
      <c r="AE148" s="1" t="str">
        <f>IF('Raw File'!C148&gt;0,'Raw File'!A148," ")</f>
        <v xml:space="preserve"> </v>
      </c>
      <c r="AF148" s="1" t="str">
        <f>IF('Raw File'!C148&gt;0,'Raw File'!A148," ")</f>
        <v xml:space="preserve"> </v>
      </c>
      <c r="AG148" t="str">
        <f>IF('Raw File'!C148&gt;0,'Raw File'!C148, " ")</f>
        <v xml:space="preserve"> </v>
      </c>
      <c r="AQ148" t="str">
        <f>IF('Raw File'!G148&gt;0, IF('Raw File'!G148&lt;100, "H", "S"), " ")</f>
        <v xml:space="preserve"> </v>
      </c>
      <c r="AR148" t="str">
        <f>IF('Raw File'!G148&gt;0,'Raw File'!G148," ")</f>
        <v xml:space="preserve"> </v>
      </c>
      <c r="AT148" t="str">
        <f>IF('Raw File'!C148&gt;0,40," ")</f>
        <v xml:space="preserve"> </v>
      </c>
      <c r="AV148" t="str">
        <f>IF('Raw File'!N148= 0, " ", IF('Raw File'!N148="S", "SS", IF( 'Raw File'!N148= "M", "MJ", IF('Raw File'!N148= "H", "H"))))</f>
        <v xml:space="preserve"> </v>
      </c>
      <c r="AW148" s="12"/>
      <c r="AX148" t="str">
        <f>LEFT('Raw File'!P148,1)</f>
        <v/>
      </c>
      <c r="AY148" t="str">
        <f>LEFT('Raw File'!N148,1)</f>
        <v/>
      </c>
      <c r="AZ148">
        <f>IF('Raw File'!O148="exempt",99,IF('Raw File'!O148&gt;0,'Raw File'!O148/2000,IF('Raw File'!O148=0,'Raw File'!O148," ")))</f>
        <v>0</v>
      </c>
      <c r="BA148" t="str">
        <f>LEFT('Raw File'!P148,1)</f>
        <v/>
      </c>
      <c r="BJ148" t="str">
        <f>IF('Raw File'!C148&gt;0,"1"," ")</f>
        <v xml:space="preserve"> </v>
      </c>
      <c r="BX148" t="str">
        <f>IF('Raw File'!C148&gt;0,"WEEKLY"," ")</f>
        <v xml:space="preserve"> </v>
      </c>
      <c r="CA148" t="str">
        <f>IF('Raw File'!C148&gt;0, "N"," ")</f>
        <v xml:space="preserve"> </v>
      </c>
      <c r="CI148" t="str">
        <f>IF('Raw File'!C148&gt;0, "W", " ")</f>
        <v xml:space="preserve"> </v>
      </c>
      <c r="DN148" s="1" t="str">
        <f>IF('Raw File'!C148&gt;0,'Raw File'!A148," ")</f>
        <v xml:space="preserve"> </v>
      </c>
      <c r="GY148">
        <f>IF('Raw File'!O148=" "," ",IF('Raw File'!O148&gt;100,'Raw File'!O148,IF('Raw File'!O148="exempt","99999",IF('Raw File'!O148&lt;100, 'Raw File'!O148*2000, " "))))</f>
        <v>0</v>
      </c>
      <c r="HQ148" t="str">
        <f>IF('Raw File'!C148&gt;0,"1"," ")</f>
        <v xml:space="preserve"> </v>
      </c>
    </row>
    <row r="149" spans="1:225" x14ac:dyDescent="0.35">
      <c r="A149" t="str">
        <f>IF('Raw File'!E149&gt;0,'Raw File'!E149, " ")</f>
        <v xml:space="preserve"> </v>
      </c>
      <c r="B149" t="str">
        <f>IF('Raw File'!D149&gt;0,'Raw File'!D149," ")</f>
        <v xml:space="preserve"> </v>
      </c>
      <c r="C149" t="str">
        <f>IF('Raw File'!F149&gt;0,'Raw File'!F149, " ")</f>
        <v xml:space="preserve"> </v>
      </c>
      <c r="D149" s="1" t="str">
        <f>IF('Raw File'!R149&gt;0,'Raw File'!R149, " ")</f>
        <v xml:space="preserve"> </v>
      </c>
      <c r="E149" t="str">
        <f>IF('Raw File'!C149&gt;0, 296, " ")</f>
        <v xml:space="preserve"> </v>
      </c>
      <c r="F149" s="10" t="str">
        <f>IF('Raw File'!C149&gt;0, "5", " ")</f>
        <v xml:space="preserve"> </v>
      </c>
      <c r="G149" t="str">
        <f>IF('Raw File'!C149&gt;0, "X", " ")</f>
        <v xml:space="preserve"> </v>
      </c>
      <c r="H149" t="str">
        <f>IF('Raw File'!N149="H", "S", LEFT('Raw File'!N149, 1))</f>
        <v/>
      </c>
      <c r="J149" t="str">
        <f>IF('Raw File'!J149&gt;0,'Raw File'!J149," ")</f>
        <v xml:space="preserve"> </v>
      </c>
      <c r="L149" t="str">
        <f>IF('Raw File'!M149&gt;0,'Raw File'!M149," ")</f>
        <v xml:space="preserve"> </v>
      </c>
      <c r="M149" t="str">
        <f>IF('Raw File'!K149&gt;0,'Raw File'!K149," ")</f>
        <v xml:space="preserve"> </v>
      </c>
      <c r="N149" t="str">
        <f>IF('Raw File'!L149&gt;0,'Raw File'!L149," ")</f>
        <v xml:space="preserve"> </v>
      </c>
      <c r="U149" t="str">
        <f>IF('Raw File'!Q149&gt;0,'Raw File'!Q149," ")</f>
        <v xml:space="preserve"> </v>
      </c>
      <c r="Y149" t="str">
        <f>IF('Raw File'!C149&gt;0,'Raw File'!C149," ")</f>
        <v xml:space="preserve"> </v>
      </c>
      <c r="Z149" t="str">
        <f>IF('Raw File'!C149&gt;0, "A", " ")</f>
        <v xml:space="preserve"> </v>
      </c>
      <c r="AA149" t="str">
        <f>IF('Raw File'!C149&gt;0, "F", " ")</f>
        <v xml:space="preserve"> </v>
      </c>
      <c r="AB149" t="str">
        <f>IF('Raw File'!H149&gt;0,'Raw File'!H149," ")</f>
        <v xml:space="preserve"> </v>
      </c>
      <c r="AC149" s="11" t="str">
        <f>IF('Raw File'!C149&gt;0,IF(WhatColor('Raw File'!C149)&gt;10,8810,8018)," ")</f>
        <v xml:space="preserve"> </v>
      </c>
      <c r="AD149" s="1" t="str">
        <f>IF('Raw File'!C149&gt;0,'Raw File'!A149," ")</f>
        <v xml:space="preserve"> </v>
      </c>
      <c r="AE149" s="1" t="str">
        <f>IF('Raw File'!C149&gt;0,'Raw File'!A149," ")</f>
        <v xml:space="preserve"> </v>
      </c>
      <c r="AF149" s="1" t="str">
        <f>IF('Raw File'!C149&gt;0,'Raw File'!A149," ")</f>
        <v xml:space="preserve"> </v>
      </c>
      <c r="AG149" t="str">
        <f>IF('Raw File'!C149&gt;0,'Raw File'!C149, " ")</f>
        <v xml:space="preserve"> </v>
      </c>
      <c r="AQ149" t="str">
        <f>IF('Raw File'!G149&gt;0, IF('Raw File'!G149&lt;100, "H", "S"), " ")</f>
        <v xml:space="preserve"> </v>
      </c>
      <c r="AR149" t="str">
        <f>IF('Raw File'!G149&gt;0,'Raw File'!G149," ")</f>
        <v xml:space="preserve"> </v>
      </c>
      <c r="AT149" t="str">
        <f>IF('Raw File'!C149&gt;0,40," ")</f>
        <v xml:space="preserve"> </v>
      </c>
      <c r="AV149" t="str">
        <f>IF('Raw File'!N149= 0, " ", IF('Raw File'!N149="S", "SS", IF( 'Raw File'!N149= "M", "MJ", IF('Raw File'!N149= "H", "H"))))</f>
        <v xml:space="preserve"> </v>
      </c>
      <c r="AW149" s="12"/>
      <c r="AX149" t="str">
        <f>LEFT('Raw File'!P149,1)</f>
        <v/>
      </c>
      <c r="AY149" t="str">
        <f>LEFT('Raw File'!N149,1)</f>
        <v/>
      </c>
      <c r="AZ149">
        <f>IF('Raw File'!O149="exempt",99,IF('Raw File'!O149&gt;0,'Raw File'!O149/2000,IF('Raw File'!O149=0,'Raw File'!O149," ")))</f>
        <v>0</v>
      </c>
      <c r="BA149" t="str">
        <f>LEFT('Raw File'!P149,1)</f>
        <v/>
      </c>
      <c r="BJ149" t="str">
        <f>IF('Raw File'!C149&gt;0,"1"," ")</f>
        <v xml:space="preserve"> </v>
      </c>
      <c r="BX149" t="str">
        <f>IF('Raw File'!C149&gt;0,"WEEKLY"," ")</f>
        <v xml:space="preserve"> </v>
      </c>
      <c r="CA149" t="str">
        <f>IF('Raw File'!C149&gt;0, "N"," ")</f>
        <v xml:space="preserve"> </v>
      </c>
      <c r="CI149" t="str">
        <f>IF('Raw File'!C149&gt;0, "W", " ")</f>
        <v xml:space="preserve"> </v>
      </c>
      <c r="DN149" s="1" t="str">
        <f>IF('Raw File'!C149&gt;0,'Raw File'!A149," ")</f>
        <v xml:space="preserve"> </v>
      </c>
      <c r="GY149">
        <f>IF('Raw File'!O149=" "," ",IF('Raw File'!O149&gt;100,'Raw File'!O149,IF('Raw File'!O149="exempt","99999",IF('Raw File'!O149&lt;100, 'Raw File'!O149*2000, " "))))</f>
        <v>0</v>
      </c>
      <c r="HQ149" t="str">
        <f>IF('Raw File'!C149&gt;0,"1"," ")</f>
        <v xml:space="preserve"> </v>
      </c>
    </row>
    <row r="150" spans="1:225" x14ac:dyDescent="0.35">
      <c r="A150" t="str">
        <f>IF('Raw File'!E150&gt;0,'Raw File'!E150, " ")</f>
        <v xml:space="preserve"> </v>
      </c>
      <c r="B150" t="str">
        <f>IF('Raw File'!D150&gt;0,'Raw File'!D150," ")</f>
        <v xml:space="preserve"> </v>
      </c>
      <c r="C150" t="str">
        <f>IF('Raw File'!F150&gt;0,'Raw File'!F150, " ")</f>
        <v xml:space="preserve"> </v>
      </c>
      <c r="D150" s="1" t="str">
        <f>IF('Raw File'!R150&gt;0,'Raw File'!R150, " ")</f>
        <v xml:space="preserve"> </v>
      </c>
      <c r="E150" t="str">
        <f>IF('Raw File'!C150&gt;0, 296, " ")</f>
        <v xml:space="preserve"> </v>
      </c>
      <c r="F150" s="10" t="str">
        <f>IF('Raw File'!C150&gt;0, "5", " ")</f>
        <v xml:space="preserve"> </v>
      </c>
      <c r="G150" t="str">
        <f>IF('Raw File'!C150&gt;0, "X", " ")</f>
        <v xml:space="preserve"> </v>
      </c>
      <c r="H150" t="str">
        <f>IF('Raw File'!N150="H", "S", LEFT('Raw File'!N150, 1))</f>
        <v/>
      </c>
      <c r="J150" t="str">
        <f>IF('Raw File'!J150&gt;0,'Raw File'!J150," ")</f>
        <v xml:space="preserve"> </v>
      </c>
      <c r="L150" t="str">
        <f>IF('Raw File'!M150&gt;0,'Raw File'!M150," ")</f>
        <v xml:space="preserve"> </v>
      </c>
      <c r="M150" t="str">
        <f>IF('Raw File'!K150&gt;0,'Raw File'!K150," ")</f>
        <v xml:space="preserve"> </v>
      </c>
      <c r="N150" t="str">
        <f>IF('Raw File'!L150&gt;0,'Raw File'!L150," ")</f>
        <v xml:space="preserve"> </v>
      </c>
      <c r="U150" t="str">
        <f>IF('Raw File'!Q150&gt;0,'Raw File'!Q150," ")</f>
        <v xml:space="preserve"> </v>
      </c>
      <c r="Y150" t="str">
        <f>IF('Raw File'!C150&gt;0,'Raw File'!C150," ")</f>
        <v xml:space="preserve"> </v>
      </c>
      <c r="Z150" t="str">
        <f>IF('Raw File'!C150&gt;0, "A", " ")</f>
        <v xml:space="preserve"> </v>
      </c>
      <c r="AA150" t="str">
        <f>IF('Raw File'!C150&gt;0, "F", " ")</f>
        <v xml:space="preserve"> </v>
      </c>
      <c r="AB150" t="str">
        <f>IF('Raw File'!H150&gt;0,'Raw File'!H150," ")</f>
        <v xml:space="preserve"> </v>
      </c>
      <c r="AC150" s="11" t="str">
        <f>IF('Raw File'!C150&gt;0,IF(WhatColor('Raw File'!C150)&gt;10,8810,8018)," ")</f>
        <v xml:space="preserve"> </v>
      </c>
      <c r="AD150" s="1" t="str">
        <f>IF('Raw File'!C150&gt;0,'Raw File'!A150," ")</f>
        <v xml:space="preserve"> </v>
      </c>
      <c r="AE150" s="1" t="str">
        <f>IF('Raw File'!C150&gt;0,'Raw File'!A150," ")</f>
        <v xml:space="preserve"> </v>
      </c>
      <c r="AF150" s="1" t="str">
        <f>IF('Raw File'!C150&gt;0,'Raw File'!A150," ")</f>
        <v xml:space="preserve"> </v>
      </c>
      <c r="AG150" t="str">
        <f>IF('Raw File'!C150&gt;0,'Raw File'!C150, " ")</f>
        <v xml:space="preserve"> </v>
      </c>
      <c r="AQ150" t="str">
        <f>IF('Raw File'!G150&gt;0, IF('Raw File'!G150&lt;100, "H", "S"), " ")</f>
        <v xml:space="preserve"> </v>
      </c>
      <c r="AR150" t="str">
        <f>IF('Raw File'!G150&gt;0,'Raw File'!G150," ")</f>
        <v xml:space="preserve"> </v>
      </c>
      <c r="AT150" t="str">
        <f>IF('Raw File'!C150&gt;0,40," ")</f>
        <v xml:space="preserve"> </v>
      </c>
      <c r="AV150" t="str">
        <f>IF('Raw File'!N150= 0, " ", IF('Raw File'!N150="S", "SS", IF( 'Raw File'!N150= "M", "MJ", IF('Raw File'!N150= "H", "H"))))</f>
        <v xml:space="preserve"> </v>
      </c>
      <c r="AW150" s="12"/>
      <c r="AX150" t="str">
        <f>LEFT('Raw File'!P150,1)</f>
        <v/>
      </c>
      <c r="AY150" t="str">
        <f>LEFT('Raw File'!N150,1)</f>
        <v/>
      </c>
      <c r="AZ150">
        <f>IF('Raw File'!O150="exempt",99,IF('Raw File'!O150&gt;0,'Raw File'!O150/2000,IF('Raw File'!O150=0,'Raw File'!O150," ")))</f>
        <v>0</v>
      </c>
      <c r="BA150" t="str">
        <f>LEFT('Raw File'!P150,1)</f>
        <v/>
      </c>
      <c r="BJ150" t="str">
        <f>IF('Raw File'!C150&gt;0,"1"," ")</f>
        <v xml:space="preserve"> </v>
      </c>
      <c r="BX150" t="str">
        <f>IF('Raw File'!C150&gt;0,"WEEKLY"," ")</f>
        <v xml:space="preserve"> </v>
      </c>
      <c r="CA150" t="str">
        <f>IF('Raw File'!C150&gt;0, "N"," ")</f>
        <v xml:space="preserve"> </v>
      </c>
      <c r="CI150" t="str">
        <f>IF('Raw File'!C150&gt;0, "W", " ")</f>
        <v xml:space="preserve"> </v>
      </c>
      <c r="DN150" s="1" t="str">
        <f>IF('Raw File'!C150&gt;0,'Raw File'!A150," ")</f>
        <v xml:space="preserve"> </v>
      </c>
      <c r="GY150">
        <f>IF('Raw File'!O150=" "," ",IF('Raw File'!O150&gt;100,'Raw File'!O150,IF('Raw File'!O150="exempt","99999",IF('Raw File'!O150&lt;100, 'Raw File'!O150*2000, " "))))</f>
        <v>0</v>
      </c>
      <c r="HQ150" t="str">
        <f>IF('Raw File'!C150&gt;0,"1"," ")</f>
        <v xml:space="preserve"> </v>
      </c>
    </row>
    <row r="151" spans="1:225" x14ac:dyDescent="0.35">
      <c r="AW151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File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Jugan</dc:creator>
  <cp:lastModifiedBy>Matthew Jugan</cp:lastModifiedBy>
  <dcterms:created xsi:type="dcterms:W3CDTF">2019-11-19T21:57:04Z</dcterms:created>
  <dcterms:modified xsi:type="dcterms:W3CDTF">2022-08-01T23:39:19Z</dcterms:modified>
</cp:coreProperties>
</file>