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ensureinc-my.sharepoint.com/personal/amber_lowe_vensure_com/Documents/Attachments/"/>
    </mc:Choice>
  </mc:AlternateContent>
  <xr:revisionPtr revIDLastSave="1" documentId="8_{E0E7F36E-75E9-46FF-966A-96380BFAA01A}" xr6:coauthVersionLast="47" xr6:coauthVersionMax="47" xr10:uidLastSave="{9954B841-590F-4948-A38B-A265F6537B6C}"/>
  <bookViews>
    <workbookView xWindow="-120" yWindow="-120" windowWidth="29040" windowHeight="15840" activeTab="1" xr2:uid="{F3A204FF-1E64-40A6-8737-B9EF81A20FF3}"/>
  </bookViews>
  <sheets>
    <sheet name="Raw File" sheetId="1" r:id="rId1"/>
    <sheet name="esinh8.29" sheetId="4" r:id="rId2"/>
  </sheets>
  <functionGroups builtInGroupCount="19"/>
  <externalReferences>
    <externalReference r:id="rId3"/>
    <externalReference r:id="rId4"/>
  </externalReferences>
  <definedNames>
    <definedName name="_xlnm._FilterDatabase" localSheetId="1" hidden="1">esinh8.29!$W$1:$W$12</definedName>
    <definedName name="_xlnm._FilterDatabase" localSheetId="0" hidden="1">'Raw File'!$D$1:$D$63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9" i="4" l="1"/>
  <c r="W7" i="4"/>
  <c r="W6" i="4"/>
  <c r="W11" i="4"/>
  <c r="AB3" i="4"/>
  <c r="AB4" i="4"/>
  <c r="AB5" i="4"/>
  <c r="AB6" i="4"/>
  <c r="AB7" i="4"/>
  <c r="AB8" i="4"/>
  <c r="AB9" i="4"/>
  <c r="AB10" i="4"/>
  <c r="AB11" i="4"/>
  <c r="AB2" i="4"/>
  <c r="GZ4" i="4"/>
  <c r="GZ5" i="4"/>
  <c r="GZ7" i="4"/>
  <c r="GZ8" i="4"/>
  <c r="GZ9" i="4"/>
  <c r="GZ10" i="4"/>
  <c r="GZ11" i="4"/>
  <c r="GZ2" i="4"/>
  <c r="GZ3" i="4"/>
  <c r="HR2" i="4"/>
  <c r="HR3" i="4"/>
  <c r="HR4" i="4"/>
  <c r="HR5" i="4"/>
  <c r="HR6" i="4"/>
  <c r="HR7" i="4"/>
  <c r="HR8" i="4"/>
  <c r="HR9" i="4"/>
  <c r="HR10" i="4"/>
  <c r="HR11" i="4"/>
  <c r="BA2" i="4"/>
  <c r="BA4" i="4"/>
  <c r="BA5" i="4"/>
  <c r="BA7" i="4"/>
  <c r="BA8" i="4"/>
  <c r="BA9" i="4"/>
  <c r="BA10" i="4"/>
  <c r="BA11" i="4"/>
  <c r="F2" i="4"/>
  <c r="F3" i="4"/>
  <c r="F4" i="4"/>
  <c r="F5" i="4"/>
  <c r="F6" i="4"/>
  <c r="F7" i="4"/>
  <c r="F8" i="4"/>
  <c r="F9" i="4"/>
  <c r="F10" i="4"/>
  <c r="F11" i="4"/>
  <c r="H2" i="4"/>
  <c r="H3" i="4"/>
  <c r="H4" i="4"/>
  <c r="H5" i="4"/>
  <c r="H6" i="4"/>
  <c r="H7" i="4"/>
  <c r="H8" i="4"/>
  <c r="H9" i="4"/>
  <c r="H10" i="4"/>
  <c r="H11" i="4"/>
  <c r="DO2" i="4" l="1"/>
  <c r="DO3" i="4"/>
  <c r="DO4" i="4"/>
  <c r="DO5" i="4"/>
  <c r="DO6" i="4"/>
  <c r="DO7" i="4"/>
  <c r="DO8" i="4"/>
  <c r="DO9" i="4"/>
  <c r="DO10" i="4"/>
  <c r="DO11" i="4"/>
  <c r="AF2" i="4"/>
  <c r="AG2" i="4"/>
  <c r="AF3" i="4"/>
  <c r="AG3" i="4"/>
  <c r="AF4" i="4"/>
  <c r="AG4" i="4"/>
  <c r="AF5" i="4"/>
  <c r="AG5" i="4"/>
  <c r="AF6" i="4"/>
  <c r="AG6" i="4"/>
  <c r="AF7" i="4"/>
  <c r="AG7" i="4"/>
  <c r="AF8" i="4"/>
  <c r="AG8" i="4"/>
  <c r="AF9" i="4"/>
  <c r="AG9" i="4"/>
  <c r="AF10" i="4"/>
  <c r="AG10" i="4"/>
  <c r="AF11" i="4"/>
  <c r="AG11" i="4"/>
  <c r="AE2" i="4"/>
  <c r="AE3" i="4"/>
  <c r="AE4" i="4"/>
  <c r="AE5" i="4"/>
  <c r="AE6" i="4"/>
  <c r="AE7" i="4"/>
  <c r="AE8" i="4"/>
  <c r="AE9" i="4"/>
  <c r="AE10" i="4"/>
  <c r="AE11" i="4"/>
  <c r="AW2" i="4" l="1"/>
  <c r="AW3" i="4"/>
  <c r="AW4" i="4"/>
  <c r="AW5" i="4"/>
  <c r="AW6" i="4"/>
  <c r="AW7" i="4"/>
  <c r="AW8" i="4"/>
  <c r="AW9" i="4"/>
  <c r="AW10" i="4"/>
  <c r="AW11" i="4"/>
  <c r="A2" i="4"/>
  <c r="B2" i="4"/>
  <c r="C2" i="4"/>
  <c r="D2" i="4"/>
  <c r="E2" i="4"/>
  <c r="G2" i="4"/>
  <c r="J2" i="4"/>
  <c r="L2" i="4"/>
  <c r="M2" i="4"/>
  <c r="N2" i="4"/>
  <c r="U2" i="4"/>
  <c r="Y2" i="4"/>
  <c r="W2" i="4" s="1"/>
  <c r="Z2" i="4"/>
  <c r="AA2" i="4"/>
  <c r="AC2" i="4"/>
  <c r="AH2" i="4"/>
  <c r="AR2" i="4"/>
  <c r="AS2" i="4"/>
  <c r="AU2" i="4"/>
  <c r="AY2" i="4"/>
  <c r="AZ2" i="4"/>
  <c r="BB2" i="4"/>
  <c r="BK2" i="4"/>
  <c r="BY2" i="4"/>
  <c r="CB2" i="4"/>
  <c r="CJ2" i="4"/>
  <c r="A3" i="4"/>
  <c r="B3" i="4"/>
  <c r="C3" i="4"/>
  <c r="D3" i="4"/>
  <c r="E3" i="4"/>
  <c r="G3" i="4"/>
  <c r="J3" i="4"/>
  <c r="L3" i="4"/>
  <c r="M3" i="4"/>
  <c r="N3" i="4"/>
  <c r="U3" i="4"/>
  <c r="Y3" i="4"/>
  <c r="W3" i="4" s="1"/>
  <c r="Z3" i="4"/>
  <c r="AA3" i="4"/>
  <c r="AC3" i="4"/>
  <c r="AH3" i="4"/>
  <c r="AR3" i="4"/>
  <c r="AS3" i="4"/>
  <c r="AU3" i="4"/>
  <c r="AY3" i="4"/>
  <c r="AZ3" i="4"/>
  <c r="BB3" i="4"/>
  <c r="BK3" i="4"/>
  <c r="BY3" i="4"/>
  <c r="CB3" i="4"/>
  <c r="CJ3" i="4"/>
  <c r="A4" i="4"/>
  <c r="B4" i="4"/>
  <c r="C4" i="4"/>
  <c r="D4" i="4"/>
  <c r="E4" i="4"/>
  <c r="G4" i="4"/>
  <c r="J4" i="4"/>
  <c r="L4" i="4"/>
  <c r="M4" i="4"/>
  <c r="N4" i="4"/>
  <c r="U4" i="4"/>
  <c r="Y4" i="4"/>
  <c r="W4" i="4" s="1"/>
  <c r="Z4" i="4"/>
  <c r="AA4" i="4"/>
  <c r="AC4" i="4"/>
  <c r="AH4" i="4"/>
  <c r="AR4" i="4"/>
  <c r="AS4" i="4"/>
  <c r="AU4" i="4"/>
  <c r="AY4" i="4"/>
  <c r="AZ4" i="4"/>
  <c r="BB4" i="4"/>
  <c r="BK4" i="4"/>
  <c r="BY4" i="4"/>
  <c r="CB4" i="4"/>
  <c r="CJ4" i="4"/>
  <c r="A5" i="4"/>
  <c r="B5" i="4"/>
  <c r="C5" i="4"/>
  <c r="D5" i="4"/>
  <c r="E5" i="4"/>
  <c r="G5" i="4"/>
  <c r="J5" i="4"/>
  <c r="L5" i="4"/>
  <c r="M5" i="4"/>
  <c r="N5" i="4"/>
  <c r="U5" i="4"/>
  <c r="Y5" i="4"/>
  <c r="W5" i="4" s="1"/>
  <c r="Z5" i="4"/>
  <c r="AA5" i="4"/>
  <c r="AC5" i="4"/>
  <c r="AH5" i="4"/>
  <c r="AR5" i="4"/>
  <c r="AS5" i="4"/>
  <c r="AU5" i="4"/>
  <c r="AY5" i="4"/>
  <c r="AZ5" i="4"/>
  <c r="BB5" i="4"/>
  <c r="BK5" i="4"/>
  <c r="BY5" i="4"/>
  <c r="CB5" i="4"/>
  <c r="CJ5" i="4"/>
  <c r="A6" i="4"/>
  <c r="B6" i="4"/>
  <c r="C6" i="4"/>
  <c r="D6" i="4"/>
  <c r="E6" i="4"/>
  <c r="G6" i="4"/>
  <c r="J6" i="4"/>
  <c r="L6" i="4"/>
  <c r="M6" i="4"/>
  <c r="N6" i="4"/>
  <c r="U6" i="4"/>
  <c r="Y6" i="4"/>
  <c r="Z6" i="4"/>
  <c r="AA6" i="4"/>
  <c r="AC6" i="4"/>
  <c r="AH6" i="4"/>
  <c r="AR6" i="4"/>
  <c r="AS6" i="4"/>
  <c r="AU6" i="4"/>
  <c r="AY6" i="4"/>
  <c r="AZ6" i="4"/>
  <c r="BB6" i="4"/>
  <c r="BK6" i="4"/>
  <c r="BY6" i="4"/>
  <c r="CB6" i="4"/>
  <c r="CJ6" i="4"/>
  <c r="A7" i="4"/>
  <c r="B7" i="4"/>
  <c r="C7" i="4"/>
  <c r="D7" i="4"/>
  <c r="E7" i="4"/>
  <c r="G7" i="4"/>
  <c r="J7" i="4"/>
  <c r="L7" i="4"/>
  <c r="M7" i="4"/>
  <c r="N7" i="4"/>
  <c r="U7" i="4"/>
  <c r="Y7" i="4"/>
  <c r="Z7" i="4"/>
  <c r="AA7" i="4"/>
  <c r="AC7" i="4"/>
  <c r="AH7" i="4"/>
  <c r="AR7" i="4"/>
  <c r="AS7" i="4"/>
  <c r="AU7" i="4"/>
  <c r="AY7" i="4"/>
  <c r="AZ7" i="4"/>
  <c r="BB7" i="4"/>
  <c r="BK7" i="4"/>
  <c r="BY7" i="4"/>
  <c r="CB7" i="4"/>
  <c r="CJ7" i="4"/>
  <c r="A8" i="4"/>
  <c r="B8" i="4"/>
  <c r="C8" i="4"/>
  <c r="D8" i="4"/>
  <c r="E8" i="4"/>
  <c r="G8" i="4"/>
  <c r="J8" i="4"/>
  <c r="L8" i="4"/>
  <c r="M8" i="4"/>
  <c r="N8" i="4"/>
  <c r="U8" i="4"/>
  <c r="Y8" i="4"/>
  <c r="W8" i="4" s="1"/>
  <c r="Z8" i="4"/>
  <c r="AA8" i="4"/>
  <c r="AC8" i="4"/>
  <c r="AH8" i="4"/>
  <c r="AR8" i="4"/>
  <c r="AS8" i="4"/>
  <c r="AU8" i="4"/>
  <c r="AY8" i="4"/>
  <c r="AZ8" i="4"/>
  <c r="BB8" i="4"/>
  <c r="BK8" i="4"/>
  <c r="BY8" i="4"/>
  <c r="CB8" i="4"/>
  <c r="CJ8" i="4"/>
  <c r="A9" i="4"/>
  <c r="B9" i="4"/>
  <c r="C9" i="4"/>
  <c r="D9" i="4"/>
  <c r="E9" i="4"/>
  <c r="G9" i="4"/>
  <c r="J9" i="4"/>
  <c r="L9" i="4"/>
  <c r="M9" i="4"/>
  <c r="N9" i="4"/>
  <c r="U9" i="4"/>
  <c r="Y9" i="4"/>
  <c r="Z9" i="4"/>
  <c r="AA9" i="4"/>
  <c r="AC9" i="4"/>
  <c r="AH9" i="4"/>
  <c r="AR9" i="4"/>
  <c r="AS9" i="4"/>
  <c r="AU9" i="4"/>
  <c r="AY9" i="4"/>
  <c r="AZ9" i="4"/>
  <c r="BB9" i="4"/>
  <c r="BK9" i="4"/>
  <c r="BY9" i="4"/>
  <c r="CB9" i="4"/>
  <c r="CJ9" i="4"/>
  <c r="A10" i="4"/>
  <c r="B10" i="4"/>
  <c r="C10" i="4"/>
  <c r="D10" i="4"/>
  <c r="E10" i="4"/>
  <c r="G10" i="4"/>
  <c r="J10" i="4"/>
  <c r="L10" i="4"/>
  <c r="M10" i="4"/>
  <c r="N10" i="4"/>
  <c r="U10" i="4"/>
  <c r="Y10" i="4"/>
  <c r="W10" i="4" s="1"/>
  <c r="Z10" i="4"/>
  <c r="AA10" i="4"/>
  <c r="AC10" i="4"/>
  <c r="AH10" i="4"/>
  <c r="AR10" i="4"/>
  <c r="AS10" i="4"/>
  <c r="AU10" i="4"/>
  <c r="AY10" i="4"/>
  <c r="AZ10" i="4"/>
  <c r="BB10" i="4"/>
  <c r="BK10" i="4"/>
  <c r="BY10" i="4"/>
  <c r="CB10" i="4"/>
  <c r="CJ10" i="4"/>
  <c r="A11" i="4"/>
  <c r="B11" i="4"/>
  <c r="C11" i="4"/>
  <c r="D11" i="4"/>
  <c r="E11" i="4"/>
  <c r="G11" i="4"/>
  <c r="J11" i="4"/>
  <c r="L11" i="4"/>
  <c r="M11" i="4"/>
  <c r="N11" i="4"/>
  <c r="U11" i="4"/>
  <c r="Y11" i="4"/>
  <c r="Z11" i="4"/>
  <c r="AA11" i="4"/>
  <c r="AC11" i="4"/>
  <c r="AH11" i="4"/>
  <c r="AR11" i="4"/>
  <c r="AS11" i="4"/>
  <c r="AU11" i="4"/>
  <c r="AY11" i="4"/>
  <c r="AZ11" i="4"/>
  <c r="BB11" i="4"/>
  <c r="BK11" i="4"/>
  <c r="BY11" i="4"/>
  <c r="CB11" i="4"/>
  <c r="CJ11" i="4"/>
  <c r="AD5" i="4"/>
  <c r="AD4" i="4"/>
  <c r="AD3" i="4"/>
  <c r="AD10" i="4"/>
  <c r="AD7" i="4"/>
  <c r="AD2" i="4"/>
  <c r="AD6" i="4"/>
  <c r="AD9" i="4"/>
  <c r="AD8" i="4"/>
  <c r="AD11" i="4"/>
</calcChain>
</file>

<file path=xl/sharedStrings.xml><?xml version="1.0" encoding="utf-8"?>
<sst xmlns="http://schemas.openxmlformats.org/spreadsheetml/2006/main" count="792" uniqueCount="521">
  <si>
    <t>COMPANY.ID</t>
  </si>
  <si>
    <t>EMPLOYER.ID</t>
  </si>
  <si>
    <t>TOBACCO/SMOKER</t>
  </si>
  <si>
    <t>Zip</t>
  </si>
  <si>
    <t>City</t>
  </si>
  <si>
    <t>State</t>
  </si>
  <si>
    <t>TELEPHONE</t>
  </si>
  <si>
    <t>HANDICAPPED</t>
  </si>
  <si>
    <t>BLIND</t>
  </si>
  <si>
    <t>VIETNAM.VET</t>
  </si>
  <si>
    <t>DISABLED.VET</t>
  </si>
  <si>
    <t>CITIZEN</t>
  </si>
  <si>
    <t>Gender</t>
  </si>
  <si>
    <t>EMERGENCY.CONTACT</t>
  </si>
  <si>
    <t>EMERGENCY.PHONE</t>
  </si>
  <si>
    <t>EMERGENCY.RELATION</t>
  </si>
  <si>
    <t>STATUS.CODE</t>
  </si>
  <si>
    <t>TYPE.CODE</t>
  </si>
  <si>
    <t>LOCATION.CODE</t>
  </si>
  <si>
    <t>WORK.PHONE</t>
  </si>
  <si>
    <t>WORK.EXT</t>
  </si>
  <si>
    <t>MAIL.ADDR.ONE</t>
  </si>
  <si>
    <t>MAIL.ADDR.TWO</t>
  </si>
  <si>
    <t>MAIL.CITY</t>
  </si>
  <si>
    <t>MAIL.STATE</t>
  </si>
  <si>
    <t>MAIL.ZIP</t>
  </si>
  <si>
    <t>SHIFT.CODE</t>
  </si>
  <si>
    <t>DISCONTINUED</t>
  </si>
  <si>
    <t>STD HOURS</t>
  </si>
  <si>
    <t>EIC.FILING.STATUS</t>
  </si>
  <si>
    <t>WORK.STATE.STATUS</t>
  </si>
  <si>
    <t>WORK.STATE.ALLOWS</t>
  </si>
  <si>
    <t>WORK.STATE.ADDITIONAL.AMOUNT</t>
  </si>
  <si>
    <t>OFFICER</t>
  </si>
  <si>
    <t>DEPT.CODE</t>
  </si>
  <si>
    <t>TERM. CODE</t>
  </si>
  <si>
    <t>EMAIL.ADDRESS</t>
  </si>
  <si>
    <t>BENEFIT.GROUP</t>
  </si>
  <si>
    <t>USER.FIELD.1</t>
  </si>
  <si>
    <t>USER.FIELD.2</t>
  </si>
  <si>
    <t>USER.FIELD.3</t>
  </si>
  <si>
    <t>USER.FIELD.4</t>
  </si>
  <si>
    <t>USER.FIELD.5</t>
  </si>
  <si>
    <t>ZIP SUFFIX</t>
  </si>
  <si>
    <t>ALT CALC  HOME STATE CODE</t>
  </si>
  <si>
    <t>ALT CALC WORKSTATE CODE</t>
  </si>
  <si>
    <t>1099 EMPLOYEE?</t>
  </si>
  <si>
    <t>PAY.GROUP</t>
  </si>
  <si>
    <t>DIVISION.CODE</t>
  </si>
  <si>
    <t>PROJECT.CODE</t>
  </si>
  <si>
    <t>AUTO.PAY</t>
  </si>
  <si>
    <t>AUTO.PAY.HOURS</t>
  </si>
  <si>
    <t>HOME.STATE.EXEMPT.AMOUNT</t>
  </si>
  <si>
    <t>HOME.STATE.SECONDARY.ALLOWS</t>
  </si>
  <si>
    <t>HOME.STATE.SUPP.AMOUNT</t>
  </si>
  <si>
    <t>WORK.STATE.EXEMPT.AMOUNT</t>
  </si>
  <si>
    <t>WORK.STATE.SECONDARY.ALLOWS</t>
  </si>
  <si>
    <t>WS.SUPP.AMOUNT</t>
  </si>
  <si>
    <t>PAY.PERIOD</t>
  </si>
  <si>
    <t>VETERAN</t>
  </si>
  <si>
    <t>NEWLY.SEPARATED.VET</t>
  </si>
  <si>
    <t>SERVICE.MEDAL.VET</t>
  </si>
  <si>
    <t>OTHER.PROTECTED.VET</t>
  </si>
  <si>
    <t>I9.DOCUMENT.TITLE.A</t>
  </si>
  <si>
    <t>I9.DOCEMENT.NUMBER.A</t>
  </si>
  <si>
    <t>I9.ISSUING.AUTHORITY.A</t>
  </si>
  <si>
    <t>I9.EXPIRATION.DATE.A</t>
  </si>
  <si>
    <t>I9.DOCUMENT.TITLE.B</t>
  </si>
  <si>
    <t>I9.DOCUMENT.NUMBER.B</t>
  </si>
  <si>
    <t>I9.ISSUING.AUTHORITY.B</t>
  </si>
  <si>
    <t>I9.EXPIRATION.DATE.B</t>
  </si>
  <si>
    <t>ALIEN.REG.NO</t>
  </si>
  <si>
    <t>FICA.EXEMPT</t>
  </si>
  <si>
    <t>UNION.CODE</t>
  </si>
  <si>
    <t>SUPERVISOR.ID</t>
  </si>
  <si>
    <t>BENE.THRU.DATE</t>
  </si>
  <si>
    <t>SCHOOL.DISTRICT</t>
  </si>
  <si>
    <t>AGRICULTURAL</t>
  </si>
  <si>
    <t>HOME.PHONE.2</t>
  </si>
  <si>
    <t>ALT.PAYRATE.1</t>
  </si>
  <si>
    <t>ALT.PAYRATE.2</t>
  </si>
  <si>
    <t>ALT.PAYRATE.3</t>
  </si>
  <si>
    <t>ALT.PAYRATE.4</t>
  </si>
  <si>
    <t>ALT.PAYRATE.5</t>
  </si>
  <si>
    <t>ALT.PAYRATE.6</t>
  </si>
  <si>
    <t>ALT.PAYRATE.7</t>
  </si>
  <si>
    <t>ALT.PAYRATE.8</t>
  </si>
  <si>
    <t>ALT.PAYRATE.9</t>
  </si>
  <si>
    <t>ALT.PAYRATE.10</t>
  </si>
  <si>
    <t>MAIL.CHECK.HOME</t>
  </si>
  <si>
    <t>W2.ADDRESS.ONE</t>
  </si>
  <si>
    <t>W2.ADDRESS.TWO</t>
  </si>
  <si>
    <t>W2.CITY</t>
  </si>
  <si>
    <t>W2.STATE</t>
  </si>
  <si>
    <t>W2.ZIP.CODE</t>
  </si>
  <si>
    <t>LICENSE.NUMBER</t>
  </si>
  <si>
    <t>LICENSE.EXPIRE.DATE</t>
  </si>
  <si>
    <t>LICENSE.STATE</t>
  </si>
  <si>
    <t>S.CORP.PRINCIPAL</t>
  </si>
  <si>
    <t>ELECTRONIC.PAY.STUB</t>
  </si>
  <si>
    <t>ELECTRONIC.W2.FORM</t>
  </si>
  <si>
    <t>ALLOC.LOCATION.1</t>
  </si>
  <si>
    <t>ALLOC.LOCATION.2</t>
  </si>
  <si>
    <t>ALLOC.LOCATION.3</t>
  </si>
  <si>
    <t>ALLOC.LOCATION.4</t>
  </si>
  <si>
    <t>ALLOC.LOCATION.5</t>
  </si>
  <si>
    <t>ALLOC.DIVISION.1</t>
  </si>
  <si>
    <t>ALLOC.DIVISION.2</t>
  </si>
  <si>
    <t>ALLOC.DIVISION.3</t>
  </si>
  <si>
    <t>ALLOC.DIVISION.4</t>
  </si>
  <si>
    <t>ALLOC.DIVISION.5</t>
  </si>
  <si>
    <t>ALLOC.DEPARTMENT.1</t>
  </si>
  <si>
    <t>ALLOC.DEPARTMENT.2</t>
  </si>
  <si>
    <t>ALLOC.DEPARTMENT.3</t>
  </si>
  <si>
    <t>ALLOC.DEPARTMENT.4</t>
  </si>
  <si>
    <t>ALLOC.DEPARTMENT.5</t>
  </si>
  <si>
    <t>ALLOC.PROJECT.1</t>
  </si>
  <si>
    <t>ALLOC.PROJECT.2</t>
  </si>
  <si>
    <t>ALLOC.PROJECT.3</t>
  </si>
  <si>
    <t>ALLOC.PROJECT.4</t>
  </si>
  <si>
    <t>ALLOC.PROJECT.5</t>
  </si>
  <si>
    <t>ALLOC.JOBS.1</t>
  </si>
  <si>
    <t>ALLOC.JOBS.2</t>
  </si>
  <si>
    <t>ALLOC.JOBS.3</t>
  </si>
  <si>
    <t>ALLOC.JOBS.4</t>
  </si>
  <si>
    <t>ALLOC.JOBS.5</t>
  </si>
  <si>
    <t>ALLOC.PERCENTS.1</t>
  </si>
  <si>
    <t>ALLOC.PERCENTS.2</t>
  </si>
  <si>
    <t>ALLOC.PERCENTS.3</t>
  </si>
  <si>
    <t>ALLOC.PERCENTS.4</t>
  </si>
  <si>
    <t>ALLOC.PERCENTS.5</t>
  </si>
  <si>
    <t>ONHRP.ONBOARDED</t>
  </si>
  <si>
    <t>HANDBK.RCD</t>
  </si>
  <si>
    <t>LAST.REVIEW</t>
  </si>
  <si>
    <t>NEXT.REVIEW</t>
  </si>
  <si>
    <t>NICKNAME</t>
  </si>
  <si>
    <t>S</t>
  </si>
  <si>
    <t>CA</t>
  </si>
  <si>
    <t>M</t>
  </si>
  <si>
    <t>ACA</t>
  </si>
  <si>
    <t xml:space="preserve">Social Security Number </t>
  </si>
  <si>
    <t>Project Code</t>
  </si>
  <si>
    <t>Location</t>
  </si>
  <si>
    <t>Additional</t>
  </si>
  <si>
    <t>Start Date</t>
  </si>
  <si>
    <t>DOB</t>
  </si>
  <si>
    <t>San Bernardino</t>
  </si>
  <si>
    <t>F</t>
  </si>
  <si>
    <t>Riverside</t>
  </si>
  <si>
    <t>Moreno Valley</t>
  </si>
  <si>
    <t>Perris</t>
  </si>
  <si>
    <t>First Name</t>
  </si>
  <si>
    <t>Last Name</t>
  </si>
  <si>
    <t>Middle Initial</t>
  </si>
  <si>
    <t>Primary Rate</t>
  </si>
  <si>
    <t>Address</t>
  </si>
  <si>
    <t>Witholding Status</t>
  </si>
  <si>
    <t>Exemptions</t>
  </si>
  <si>
    <t>FIRST.NAME</t>
  </si>
  <si>
    <t>LAST.NAME</t>
  </si>
  <si>
    <t>MIDDLE.INIT</t>
  </si>
  <si>
    <t>BIRTH.DATE</t>
  </si>
  <si>
    <t>ETHNIC.CODE</t>
  </si>
  <si>
    <t>MARITAL.STATUS</t>
  </si>
  <si>
    <t>ADDR.ONE</t>
  </si>
  <si>
    <t>ADDR.TWO</t>
  </si>
  <si>
    <t>ZIP.CODE</t>
  </si>
  <si>
    <t>CITY</t>
  </si>
  <si>
    <t>STATE</t>
  </si>
  <si>
    <t>GENDER</t>
  </si>
  <si>
    <t>SOC.SEC.NUM</t>
  </si>
  <si>
    <t>JOB.CODE</t>
  </si>
  <si>
    <t>ORIG.HIRE</t>
  </si>
  <si>
    <t>LAST.HIRE</t>
  </si>
  <si>
    <t>PEO.START.DT</t>
  </si>
  <si>
    <t>EMPLOYEE.NO</t>
  </si>
  <si>
    <t>PAY.METHOD</t>
  </si>
  <si>
    <t>EXT.PAY.RATE</t>
  </si>
  <si>
    <t>FEDERAL.STATUS</t>
  </si>
  <si>
    <t>FEDERAL.ALLOWS</t>
  </si>
  <si>
    <t>EXTRA.FEDERAL</t>
  </si>
  <si>
    <t>HOME.STATE STATUS</t>
  </si>
  <si>
    <t>HOME.STATE.ALLOWS</t>
  </si>
  <si>
    <t>HOME.STATE.ADDITONAL.AMOUNT</t>
  </si>
  <si>
    <t>TERM.DATE</t>
  </si>
  <si>
    <t>NEW.HIRE.RPT.DATE</t>
  </si>
  <si>
    <t>WORK.EMAIL</t>
  </si>
  <si>
    <t>BEN.EMAIL.OPT.IN.DATE</t>
  </si>
  <si>
    <t>BENEFITS.EMAIL.ADDRESS</t>
  </si>
  <si>
    <t>USE.ADDED.I9.VALUES</t>
  </si>
  <si>
    <t>FED.W4.FILE</t>
  </si>
  <si>
    <t>FED.W4.YEAR</t>
  </si>
  <si>
    <t>FED.W5.FILE</t>
  </si>
  <si>
    <t>FED.W5.YEAR</t>
  </si>
  <si>
    <t>FORM.I9</t>
  </si>
  <si>
    <t>I9.FROM.OB</t>
  </si>
  <si>
    <t>I9.RENEW.DATE</t>
  </si>
  <si>
    <t>I9.START.DATE</t>
  </si>
  <si>
    <t>I9.LAST.NAME</t>
  </si>
  <si>
    <t>I9.FIRST.NAME</t>
  </si>
  <si>
    <t>I9.MIDDLE.NAME</t>
  </si>
  <si>
    <t>I9.OTHER.NAME.USED</t>
  </si>
  <si>
    <t>I9.SSN</t>
  </si>
  <si>
    <t>I9.DOB</t>
  </si>
  <si>
    <t>I9.ELIG2.DOCMNT</t>
  </si>
  <si>
    <t>I9.ELIG2.AUTH.NAME</t>
  </si>
  <si>
    <t>I9.ELIG2.DOCNO</t>
  </si>
  <si>
    <t>I9.ELIG2.DOC.EXP</t>
  </si>
  <si>
    <t>I9.ELIG3.DOCMNT</t>
  </si>
  <si>
    <t>I9.ELIG3.AUTH.NAME</t>
  </si>
  <si>
    <t>I9.ELIG3.DOCNO</t>
  </si>
  <si>
    <t>I9.ELIG3.DOC.EXP</t>
  </si>
  <si>
    <t>CITIZEN.STATUS</t>
  </si>
  <si>
    <t>FOREIGN.PASSPORT.NO</t>
  </si>
  <si>
    <t>FOREIGN.PASSPORT.COUNTRY</t>
  </si>
  <si>
    <t>I94.ADMISSION.NO</t>
  </si>
  <si>
    <t>ALIEN.REG.EXP</t>
  </si>
  <si>
    <t>NONRES.ALIEN</t>
  </si>
  <si>
    <t>HNDBK.MAILED</t>
  </si>
  <si>
    <t>BCKGRND.TEST.DATE</t>
  </si>
  <si>
    <t>BCKGRND.TEST.DONE</t>
  </si>
  <si>
    <t>FORM.C112.SIGNED</t>
  </si>
  <si>
    <t>PSD.CODE</t>
  </si>
  <si>
    <t>MULTIPLE.JOBS.FED</t>
  </si>
  <si>
    <t>CLAIM.DEPENDENTS.FED</t>
  </si>
  <si>
    <t>OTHER.INCOME.FED</t>
  </si>
  <si>
    <t>DEDUCTIONS.FED</t>
  </si>
  <si>
    <t>WS.MULTIPLE.JOBS</t>
  </si>
  <si>
    <t>WS.CLAIM.DEPENDENTS</t>
  </si>
  <si>
    <t>WS.OTHER.INCOME</t>
  </si>
  <si>
    <t>WS.DEDUCTIONS</t>
  </si>
  <si>
    <t>HS.MULTIPLE.JOBS</t>
  </si>
  <si>
    <t>HS.CLAIM.DEPENDENTS</t>
  </si>
  <si>
    <t>HS.OTHER.INCOME</t>
  </si>
  <si>
    <t>HS.DEDUCTIONS</t>
  </si>
  <si>
    <t>H</t>
  </si>
  <si>
    <t>Barstow</t>
  </si>
  <si>
    <t>Victorville</t>
  </si>
  <si>
    <t>Cervantes</t>
  </si>
  <si>
    <t>Bryan</t>
  </si>
  <si>
    <t>Rodriguez</t>
  </si>
  <si>
    <t>Apple Valley</t>
  </si>
  <si>
    <t>Kevin</t>
  </si>
  <si>
    <t>Highland</t>
  </si>
  <si>
    <t>Salvador</t>
  </si>
  <si>
    <t>Christian</t>
  </si>
  <si>
    <t>SB Sweet Harvest</t>
  </si>
  <si>
    <t>Ramirez</t>
  </si>
  <si>
    <t>Corona</t>
  </si>
  <si>
    <t>Adrian</t>
  </si>
  <si>
    <t>Jorge</t>
  </si>
  <si>
    <t>Christopher</t>
  </si>
  <si>
    <t>exempt</t>
  </si>
  <si>
    <t>605-31-1495</t>
  </si>
  <si>
    <t>Escalante Cadenas</t>
  </si>
  <si>
    <t>Jonathan</t>
  </si>
  <si>
    <r>
      <t xml:space="preserve">SB Big Lots                </t>
    </r>
    <r>
      <rPr>
        <b/>
        <sz val="8"/>
        <rFont val="Arial"/>
        <family val="2"/>
      </rPr>
      <t>mail</t>
    </r>
    <r>
      <rPr>
        <sz val="8"/>
        <rFont val="Arial"/>
        <family val="2"/>
      </rPr>
      <t xml:space="preserve"> </t>
    </r>
  </si>
  <si>
    <t>20683 Waalew Rd  #92</t>
  </si>
  <si>
    <t>625-04-9761</t>
  </si>
  <si>
    <t>Traylor</t>
  </si>
  <si>
    <t>Terrionna</t>
  </si>
  <si>
    <r>
      <t xml:space="preserve">SB Big Lots                </t>
    </r>
    <r>
      <rPr>
        <b/>
        <sz val="8"/>
        <rFont val="Arial"/>
        <family val="2"/>
      </rPr>
      <t xml:space="preserve">mail </t>
    </r>
  </si>
  <si>
    <t>11250 Lee Ave  #K74</t>
  </si>
  <si>
    <t>Adelanto</t>
  </si>
  <si>
    <t>427-21-6535</t>
  </si>
  <si>
    <t>Johnson</t>
  </si>
  <si>
    <t>Jacqueline</t>
  </si>
  <si>
    <t xml:space="preserve">22771 Eyota Road </t>
  </si>
  <si>
    <t>623-39-8379</t>
  </si>
  <si>
    <t>Ruiz</t>
  </si>
  <si>
    <t>Isabel</t>
  </si>
  <si>
    <r>
      <t xml:space="preserve">SB Big Lots               </t>
    </r>
    <r>
      <rPr>
        <b/>
        <sz val="8"/>
        <rFont val="Arial"/>
        <family val="2"/>
      </rPr>
      <t xml:space="preserve"> mail </t>
    </r>
  </si>
  <si>
    <t xml:space="preserve">15834 Joshua Street </t>
  </si>
  <si>
    <t>604-02-0590</t>
  </si>
  <si>
    <t>Anderson</t>
  </si>
  <si>
    <t>Shawn</t>
  </si>
  <si>
    <t>16746 Lime Street  #7</t>
  </si>
  <si>
    <t>Hesperia</t>
  </si>
  <si>
    <t>610-90-7831</t>
  </si>
  <si>
    <t>Alcala</t>
  </si>
  <si>
    <t>Pedro</t>
  </si>
  <si>
    <t>14621 Equestrian Ct</t>
  </si>
  <si>
    <t>156-11-1137</t>
  </si>
  <si>
    <t>Ash</t>
  </si>
  <si>
    <t>Lazarus</t>
  </si>
  <si>
    <t>12609 West Way Ln</t>
  </si>
  <si>
    <t>602-39-3385</t>
  </si>
  <si>
    <t>Powell</t>
  </si>
  <si>
    <t>Zachary</t>
  </si>
  <si>
    <t>12358 Kiowa Rd  #B</t>
  </si>
  <si>
    <t>610-23-7746</t>
  </si>
  <si>
    <t>Arias</t>
  </si>
  <si>
    <t>Samuel</t>
  </si>
  <si>
    <t>13613 Ivanpah Rd</t>
  </si>
  <si>
    <t>546-99-0094</t>
  </si>
  <si>
    <t>Rosa</t>
  </si>
  <si>
    <t>David</t>
  </si>
  <si>
    <t xml:space="preserve">SB Big Lot's              DD good </t>
  </si>
  <si>
    <t>15228 Sunflower Ln</t>
  </si>
  <si>
    <t>616-23-0710</t>
  </si>
  <si>
    <t>Marshall</t>
  </si>
  <si>
    <t>Eric</t>
  </si>
  <si>
    <t>14221 Sun Valley St</t>
  </si>
  <si>
    <t>624-29-8933</t>
  </si>
  <si>
    <t>Fluty</t>
  </si>
  <si>
    <t>Jacob</t>
  </si>
  <si>
    <t>14881 Dos Palmas Rd</t>
  </si>
  <si>
    <t>622-43-9244</t>
  </si>
  <si>
    <t>Bedoy</t>
  </si>
  <si>
    <t>Anthony</t>
  </si>
  <si>
    <t>12531 Bermuda Ct</t>
  </si>
  <si>
    <t>619-45-3292</t>
  </si>
  <si>
    <t>Shaw</t>
  </si>
  <si>
    <t>Kenneth</t>
  </si>
  <si>
    <t>13286 Mesa View Drive</t>
  </si>
  <si>
    <t>602-39-2600</t>
  </si>
  <si>
    <t>Akers</t>
  </si>
  <si>
    <t>Jordan</t>
  </si>
  <si>
    <t>16182 Yucca St</t>
  </si>
  <si>
    <t>624-31-6101</t>
  </si>
  <si>
    <t>Rizo</t>
  </si>
  <si>
    <t>Matthew</t>
  </si>
  <si>
    <t>16515 Village Dr</t>
  </si>
  <si>
    <t>611-21-4804</t>
  </si>
  <si>
    <t>Velasco</t>
  </si>
  <si>
    <t>Armando</t>
  </si>
  <si>
    <t>11784 Galewood St</t>
  </si>
  <si>
    <t>612-74-4945</t>
  </si>
  <si>
    <t>Van Zanten Jr</t>
  </si>
  <si>
    <t>William</t>
  </si>
  <si>
    <r>
      <t xml:space="preserve">SB Big Lots               </t>
    </r>
    <r>
      <rPr>
        <b/>
        <sz val="8"/>
        <rFont val="Arial"/>
        <family val="2"/>
      </rPr>
      <t xml:space="preserve"> p/u SB</t>
    </r>
  </si>
  <si>
    <t>14173 Green Tree Blvd  #186</t>
  </si>
  <si>
    <t>613-41-5747</t>
  </si>
  <si>
    <t>Grabau</t>
  </si>
  <si>
    <r>
      <t xml:space="preserve">SB Big Lots              </t>
    </r>
    <r>
      <rPr>
        <b/>
        <sz val="8"/>
        <rFont val="Arial"/>
        <family val="2"/>
      </rPr>
      <t xml:space="preserve">  mail </t>
    </r>
  </si>
  <si>
    <t>21039 Minnetonka Rd</t>
  </si>
  <si>
    <t>572-85-1042</t>
  </si>
  <si>
    <t>Cerda</t>
  </si>
  <si>
    <t>Jaime</t>
  </si>
  <si>
    <t>28092 Ironwood Dr</t>
  </si>
  <si>
    <t>610-43-3306</t>
  </si>
  <si>
    <t>Jackson</t>
  </si>
  <si>
    <t>13833 Woodbine dr</t>
  </si>
  <si>
    <t>625-45-2873</t>
  </si>
  <si>
    <t>Isaiah</t>
  </si>
  <si>
    <t>13735 Greyling Ct</t>
  </si>
  <si>
    <t>625-41-7025</t>
  </si>
  <si>
    <t>Hahn</t>
  </si>
  <si>
    <t>9292 SVL Box</t>
  </si>
  <si>
    <t>091-94-5094</t>
  </si>
  <si>
    <t>Dates</t>
  </si>
  <si>
    <t>Amaree</t>
  </si>
  <si>
    <t xml:space="preserve">18120 Danbury Ave </t>
  </si>
  <si>
    <t>622-21-5073</t>
  </si>
  <si>
    <t>Lacey</t>
  </si>
  <si>
    <t>Kobe</t>
  </si>
  <si>
    <t>15450 Nisqualli Rd  # J206</t>
  </si>
  <si>
    <t>620-02-7970</t>
  </si>
  <si>
    <t>Avina</t>
  </si>
  <si>
    <t>Victor</t>
  </si>
  <si>
    <t>SB G &amp; B Fulfillment</t>
  </si>
  <si>
    <t>1583 Kendall Dr</t>
  </si>
  <si>
    <t>120-57-8516</t>
  </si>
  <si>
    <t>Morales Miranda</t>
  </si>
  <si>
    <t>Nehemias</t>
  </si>
  <si>
    <t>24686 E Little Third St</t>
  </si>
  <si>
    <t>624-11-0417</t>
  </si>
  <si>
    <t>Joseph</t>
  </si>
  <si>
    <t>SB Haley Bros  4/10</t>
  </si>
  <si>
    <t xml:space="preserve">641 W Olive Street </t>
  </si>
  <si>
    <t>Colton</t>
  </si>
  <si>
    <t>615-25-4614</t>
  </si>
  <si>
    <t>Madero</t>
  </si>
  <si>
    <t>619 W 17th Street</t>
  </si>
  <si>
    <t>559-79-1662</t>
  </si>
  <si>
    <t xml:space="preserve">Lara </t>
  </si>
  <si>
    <t>Andres</t>
  </si>
  <si>
    <t>SB Haley Bros  5/8</t>
  </si>
  <si>
    <t>1796 W Persimmon St</t>
  </si>
  <si>
    <t>Rialto</t>
  </si>
  <si>
    <t>616-31-4812</t>
  </si>
  <si>
    <t>Solis III</t>
  </si>
  <si>
    <t>Demetrio</t>
  </si>
  <si>
    <t xml:space="preserve">1699 W Vine Street </t>
  </si>
  <si>
    <t>560-41-7502</t>
  </si>
  <si>
    <t>Rosanna</t>
  </si>
  <si>
    <t>SB WMB Windows      clerical</t>
  </si>
  <si>
    <t>8570 Harmony Ln</t>
  </si>
  <si>
    <t>607-76-0270</t>
  </si>
  <si>
    <t>Thomas</t>
  </si>
  <si>
    <t>Ryan</t>
  </si>
  <si>
    <t>SB Isolatek   4/10</t>
  </si>
  <si>
    <t>7505 Bluemist Ct</t>
  </si>
  <si>
    <t>Fontana</t>
  </si>
  <si>
    <t xml:space="preserve">CA </t>
  </si>
  <si>
    <t>100-84-1273</t>
  </si>
  <si>
    <t>Duncan</t>
  </si>
  <si>
    <t>Cicilyn</t>
  </si>
  <si>
    <t>SB Nogin</t>
  </si>
  <si>
    <t>8189 Palmetto Ave  #107</t>
  </si>
  <si>
    <t>604-90-8851</t>
  </si>
  <si>
    <t>Urias</t>
  </si>
  <si>
    <t>Karime</t>
  </si>
  <si>
    <t>146 W Virginia St</t>
  </si>
  <si>
    <t>620-90-8426</t>
  </si>
  <si>
    <t>Vanessa</t>
  </si>
  <si>
    <t>570-79-4500</t>
  </si>
  <si>
    <t>Flores</t>
  </si>
  <si>
    <t>Ruben</t>
  </si>
  <si>
    <t>SB Haley Bros</t>
  </si>
  <si>
    <t xml:space="preserve">2347 W Via Lindo Dr </t>
  </si>
  <si>
    <t>663-02-8873</t>
  </si>
  <si>
    <t>Ling Oei Shan</t>
  </si>
  <si>
    <t>Melisa</t>
  </si>
  <si>
    <t>13452 Cumberland Pl</t>
  </si>
  <si>
    <t>620-98-1220</t>
  </si>
  <si>
    <t>Carter</t>
  </si>
  <si>
    <t>849 Johnston Street</t>
  </si>
  <si>
    <t>619-15-4425</t>
  </si>
  <si>
    <t>Pastran</t>
  </si>
  <si>
    <t>Nicholas</t>
  </si>
  <si>
    <t>SB Orco Block</t>
  </si>
  <si>
    <t>2055 Central Ave  #19A</t>
  </si>
  <si>
    <t>615-82-3967</t>
  </si>
  <si>
    <t>Seiuli</t>
  </si>
  <si>
    <t>Diamond</t>
  </si>
  <si>
    <t>SB Trak Motive</t>
  </si>
  <si>
    <t>1303 E Lynwood dr  #6</t>
  </si>
  <si>
    <t>607-42-1293</t>
  </si>
  <si>
    <t>Diaz</t>
  </si>
  <si>
    <t>Zerlinda</t>
  </si>
  <si>
    <t>Meiko</t>
  </si>
  <si>
    <t>10578 Burton St</t>
  </si>
  <si>
    <t>602-19-2901</t>
  </si>
  <si>
    <t>Avila Rendon</t>
  </si>
  <si>
    <t>Norma</t>
  </si>
  <si>
    <t>15332 Eleanor Ln</t>
  </si>
  <si>
    <t>625-64-6299</t>
  </si>
  <si>
    <t>Cruz</t>
  </si>
  <si>
    <t>Ana</t>
  </si>
  <si>
    <t>7774 Magnolia Ave  #27</t>
  </si>
  <si>
    <t>588-87-6082</t>
  </si>
  <si>
    <t>Figueroa-Soto</t>
  </si>
  <si>
    <t>Martha</t>
  </si>
  <si>
    <t>Nogin</t>
  </si>
  <si>
    <t>4181 Manchester Pl</t>
  </si>
  <si>
    <t>797-42-1934</t>
  </si>
  <si>
    <t>Chong Villa</t>
  </si>
  <si>
    <t>Yamel</t>
  </si>
  <si>
    <t>3827 Sedgwick Ave</t>
  </si>
  <si>
    <t>737-22-4535</t>
  </si>
  <si>
    <t>Reyna Almazan</t>
  </si>
  <si>
    <t>Kawasaki</t>
  </si>
  <si>
    <t>1033 Warbonnet Dr</t>
  </si>
  <si>
    <t>608-86-5446</t>
  </si>
  <si>
    <t>Alexis</t>
  </si>
  <si>
    <t>Quinn            Clerical</t>
  </si>
  <si>
    <t>3152 Fillmore St</t>
  </si>
  <si>
    <t>608-29-1640</t>
  </si>
  <si>
    <t>Tapia</t>
  </si>
  <si>
    <t xml:space="preserve">Eric </t>
  </si>
  <si>
    <t>Jomar</t>
  </si>
  <si>
    <t>253 Isabella Way  #8</t>
  </si>
  <si>
    <t>614-27-0041</t>
  </si>
  <si>
    <t>Meckstroth</t>
  </si>
  <si>
    <t>Tyler</t>
  </si>
  <si>
    <t>Orco</t>
  </si>
  <si>
    <t>2484 Centennial Way</t>
  </si>
  <si>
    <t>620-64-3279</t>
  </si>
  <si>
    <t>Hernandez Sandoval</t>
  </si>
  <si>
    <t>Emmanuel</t>
  </si>
  <si>
    <t>WMB Windows</t>
  </si>
  <si>
    <t>11255 Wybourn Ave</t>
  </si>
  <si>
    <t>605-21-9538</t>
  </si>
  <si>
    <t>Velazquez</t>
  </si>
  <si>
    <t>Nathan</t>
  </si>
  <si>
    <t>Floor &amp; Décor</t>
  </si>
  <si>
    <t>487 Coudures Way</t>
  </si>
  <si>
    <t>623-25-9994</t>
  </si>
  <si>
    <t>Miranda</t>
  </si>
  <si>
    <t>Izaiah</t>
  </si>
  <si>
    <t>12664 Memorial Way  #2010</t>
  </si>
  <si>
    <t>620-35-3600</t>
  </si>
  <si>
    <t>13781 Caspian way</t>
  </si>
  <si>
    <t>614-02-1719</t>
  </si>
  <si>
    <t>Jones</t>
  </si>
  <si>
    <t>Mason</t>
  </si>
  <si>
    <t>1333 Mary Ln</t>
  </si>
  <si>
    <t>Beaumont</t>
  </si>
  <si>
    <t>609-04-6070</t>
  </si>
  <si>
    <t>Juan</t>
  </si>
  <si>
    <t>385 Richey Circle  #209</t>
  </si>
  <si>
    <t>554-79-6129</t>
  </si>
  <si>
    <t>Alvarez</t>
  </si>
  <si>
    <t>Virginia</t>
  </si>
  <si>
    <t>26835 Wildflower St</t>
  </si>
  <si>
    <t>Menifee</t>
  </si>
  <si>
    <t>603-04-9847</t>
  </si>
  <si>
    <t>Urbina</t>
  </si>
  <si>
    <t>Jennifer</t>
  </si>
  <si>
    <t>Floor &amp; Décor             clerical</t>
  </si>
  <si>
    <t>15742 Patricia St</t>
  </si>
  <si>
    <t>619-15-6445</t>
  </si>
  <si>
    <t xml:space="preserve">Hernandez    </t>
  </si>
  <si>
    <t>5323 Capary Rd</t>
  </si>
  <si>
    <t>616-19-8488</t>
  </si>
  <si>
    <t>Herrera</t>
  </si>
  <si>
    <t xml:space="preserve">Jonathan </t>
  </si>
  <si>
    <t>12208 Hythe Street</t>
  </si>
  <si>
    <t>680-14-6457</t>
  </si>
  <si>
    <t>Zuniga</t>
  </si>
  <si>
    <t>Joshua</t>
  </si>
  <si>
    <t>92308 Running Dear Rd</t>
  </si>
  <si>
    <t>626-50-9038</t>
  </si>
  <si>
    <t>Miller</t>
  </si>
  <si>
    <t>Angela</t>
  </si>
  <si>
    <t>901 E Washington St  #263</t>
  </si>
  <si>
    <t>EXEMPT</t>
  </si>
  <si>
    <t xml:space="preserve">omar gonzales mercado </t>
  </si>
  <si>
    <t>Humberto Rodriguez</t>
  </si>
  <si>
    <t>vir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</si>
</sst>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00\-00\-0000"/>
  </numFmts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name val="Arial"/>
      <family val="2"/>
    </font>
    <font>
      <sz val="8"/>
      <color rgb="FFFF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6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2" applyNumberFormat="0" applyAlignment="0" applyProtection="0"/>
    <xf numFmtId="0" fontId="6" fillId="21" borderId="3" applyNumberFormat="0" applyAlignment="0" applyProtection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2" applyNumberFormat="0" applyAlignment="0" applyProtection="0"/>
    <xf numFmtId="0" fontId="13" fillId="0" borderId="7" applyNumberFormat="0" applyFill="0" applyAlignment="0" applyProtection="0"/>
    <xf numFmtId="0" fontId="14" fillId="22" borderId="0" applyNumberFormat="0" applyBorder="0" applyAlignment="0" applyProtection="0"/>
    <xf numFmtId="0" fontId="1" fillId="23" borderId="8" applyNumberFormat="0" applyFont="0" applyAlignment="0" applyProtection="0"/>
    <xf numFmtId="0" fontId="15" fillId="20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10" applyNumberFormat="0" applyFill="0" applyAlignment="0" applyProtection="0"/>
    <xf numFmtId="0" fontId="18" fillId="0" borderId="0" applyNumberFormat="0" applyFill="0" applyBorder="0" applyAlignment="0" applyProtection="0"/>
    <xf numFmtId="44" fontId="20" fillId="0" borderId="0" applyFont="0" applyFill="0" applyBorder="0" applyAlignment="0" applyProtection="0"/>
    <xf numFmtId="43" fontId="20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44" fontId="19" fillId="0" borderId="1" xfId="29" applyFont="1" applyFill="1" applyBorder="1" applyAlignment="1">
      <alignment horizontal="right"/>
    </xf>
    <xf numFmtId="44" fontId="19" fillId="25" borderId="1" xfId="29" applyFont="1" applyFill="1" applyBorder="1" applyAlignment="1">
      <alignment horizontal="right"/>
    </xf>
    <xf numFmtId="0" fontId="1" fillId="24" borderId="11" xfId="1" applyFont="1" applyFill="1" applyBorder="1" applyAlignment="1">
      <alignment horizontal="left" vertical="center" wrapText="1"/>
    </xf>
    <xf numFmtId="1" fontId="1" fillId="24" borderId="11" xfId="1" applyNumberFormat="1" applyFont="1" applyFill="1" applyBorder="1" applyAlignment="1">
      <alignment horizontal="left" vertical="center" wrapText="1"/>
    </xf>
    <xf numFmtId="164" fontId="1" fillId="24" borderId="11" xfId="1" applyNumberFormat="1" applyFont="1" applyFill="1" applyBorder="1" applyAlignment="1">
      <alignment horizontal="left" vertical="center" wrapText="1"/>
    </xf>
    <xf numFmtId="2" fontId="1" fillId="24" borderId="11" xfId="1" applyNumberFormat="1" applyFont="1" applyFill="1" applyBorder="1" applyAlignment="1">
      <alignment horizontal="left" vertical="center" wrapText="1"/>
    </xf>
    <xf numFmtId="0" fontId="1" fillId="24" borderId="11" xfId="1" applyNumberFormat="1" applyFont="1" applyFill="1" applyBorder="1" applyAlignment="1">
      <alignment horizontal="left" vertical="center" wrapText="1"/>
    </xf>
    <xf numFmtId="44" fontId="1" fillId="24" borderId="11" xfId="29" applyFont="1" applyFill="1" applyBorder="1" applyAlignment="1">
      <alignment horizontal="left" vertical="center" wrapText="1"/>
    </xf>
    <xf numFmtId="14" fontId="1" fillId="24" borderId="11" xfId="1" applyNumberFormat="1" applyFont="1" applyFill="1" applyBorder="1" applyAlignment="1">
      <alignment horizontal="left" vertical="center" wrapText="1"/>
    </xf>
    <xf numFmtId="0" fontId="0" fillId="0" borderId="0" xfId="0" applyFill="1"/>
    <xf numFmtId="0" fontId="0" fillId="0" borderId="0" xfId="0" applyNumberFormat="1"/>
    <xf numFmtId="44" fontId="0" fillId="0" borderId="0" xfId="44" applyFont="1"/>
    <xf numFmtId="0" fontId="0" fillId="0" borderId="1" xfId="0" applyBorder="1"/>
    <xf numFmtId="0" fontId="0" fillId="0" borderId="12" xfId="0" applyBorder="1"/>
    <xf numFmtId="0" fontId="21" fillId="0" borderId="0" xfId="0" applyFont="1"/>
    <xf numFmtId="0" fontId="21" fillId="0" borderId="0" xfId="0" applyFont="1" applyAlignment="1">
      <alignment vertical="top"/>
    </xf>
    <xf numFmtId="14" fontId="19" fillId="25" borderId="1" xfId="0" applyNumberFormat="1" applyFont="1" applyFill="1" applyBorder="1" applyAlignment="1">
      <alignment horizontal="right"/>
    </xf>
    <xf numFmtId="0" fontId="19" fillId="25" borderId="1" xfId="0" applyFont="1" applyFill="1" applyBorder="1"/>
    <xf numFmtId="2" fontId="19" fillId="25" borderId="1" xfId="0" applyNumberFormat="1" applyFont="1" applyFill="1" applyBorder="1" applyAlignment="1">
      <alignment horizontal="left"/>
    </xf>
    <xf numFmtId="0" fontId="19" fillId="25" borderId="1" xfId="0" applyFont="1" applyFill="1" applyBorder="1" applyAlignment="1">
      <alignment horizontal="left"/>
    </xf>
    <xf numFmtId="39" fontId="19" fillId="25" borderId="1" xfId="45" applyNumberFormat="1" applyFont="1" applyFill="1" applyBorder="1" applyAlignment="1">
      <alignment horizontal="left" vertical="top"/>
    </xf>
    <xf numFmtId="14" fontId="19" fillId="25" borderId="1" xfId="0" applyNumberFormat="1" applyFont="1" applyFill="1" applyBorder="1" applyAlignment="1">
      <alignment horizontal="center"/>
    </xf>
    <xf numFmtId="14" fontId="19" fillId="0" borderId="1" xfId="0" applyNumberFormat="1" applyFont="1" applyBorder="1" applyAlignment="1">
      <alignment horizontal="right"/>
    </xf>
    <xf numFmtId="0" fontId="19" fillId="0" borderId="1" xfId="0" applyFont="1" applyBorder="1"/>
    <xf numFmtId="2" fontId="19" fillId="0" borderId="1" xfId="0" applyNumberFormat="1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39" fontId="19" fillId="0" borderId="1" xfId="45" applyNumberFormat="1" applyFont="1" applyFill="1" applyBorder="1" applyAlignment="1">
      <alignment horizontal="left" vertical="top"/>
    </xf>
    <xf numFmtId="14" fontId="19" fillId="0" borderId="1" xfId="0" applyNumberFormat="1" applyFont="1" applyBorder="1" applyAlignment="1">
      <alignment horizontal="center"/>
    </xf>
    <xf numFmtId="0" fontId="19" fillId="26" borderId="1" xfId="0" applyFont="1" applyFill="1" applyBorder="1" applyAlignment="1">
      <alignment horizontal="left"/>
    </xf>
    <xf numFmtId="39" fontId="19" fillId="26" borderId="1" xfId="45" applyNumberFormat="1" applyFont="1" applyFill="1" applyBorder="1" applyAlignment="1">
      <alignment horizontal="left" vertical="top"/>
    </xf>
    <xf numFmtId="0" fontId="0" fillId="27" borderId="0" xfId="0" applyFill="1"/>
    <xf numFmtId="0" fontId="0" fillId="25" borderId="0" xfId="0" applyFill="1"/>
    <xf numFmtId="0" fontId="0" fillId="28" borderId="0" xfId="0" applyFill="1"/>
    <xf numFmtId="0" fontId="19" fillId="29" borderId="1" xfId="0" applyFont="1" applyFill="1" applyBorder="1"/>
    <xf numFmtId="14" fontId="23" fillId="0" borderId="1" xfId="0" applyNumberFormat="1" applyFont="1" applyBorder="1" applyAlignment="1">
      <alignment horizontal="right"/>
    </xf>
    <xf numFmtId="14" fontId="23" fillId="25" borderId="1" xfId="0" applyNumberFormat="1" applyFont="1" applyFill="1" applyBorder="1" applyAlignment="1">
      <alignment horizontal="right"/>
    </xf>
    <xf numFmtId="14" fontId="23" fillId="27" borderId="1" xfId="0" applyNumberFormat="1" applyFont="1" applyFill="1" applyBorder="1" applyAlignment="1">
      <alignment horizontal="right"/>
    </xf>
    <xf numFmtId="0" fontId="19" fillId="27" borderId="1" xfId="0" applyFont="1" applyFill="1" applyBorder="1"/>
  </cellXfs>
  <cellStyles count="46">
    <cellStyle name="20% - Accent1 2" xfId="2" xr:uid="{D25BD025-31E1-480F-B02B-048C0F83AEE3}"/>
    <cellStyle name="20% - Accent2 2" xfId="3" xr:uid="{313247A6-19CC-4E3D-970C-01FA10C9A8A5}"/>
    <cellStyle name="20% - Accent3 2" xfId="4" xr:uid="{E54D5AAD-FFB5-46EC-8B20-E9236A1B624C}"/>
    <cellStyle name="20% - Accent4 2" xfId="5" xr:uid="{182AA219-26C4-4F12-B313-A833516E52A5}"/>
    <cellStyle name="20% - Accent5 2" xfId="6" xr:uid="{53EC86A7-8B97-47BC-B4FB-752AD8E94DD1}"/>
    <cellStyle name="20% - Accent6 2" xfId="7" xr:uid="{922FC25B-7A67-432A-A322-9E42604568CA}"/>
    <cellStyle name="40% - Accent1 2" xfId="8" xr:uid="{8FB87377-17BD-4671-B9F9-3651F14C52F0}"/>
    <cellStyle name="40% - Accent2 2" xfId="9" xr:uid="{BFB52CB1-8BE3-417F-B480-5702B08032EC}"/>
    <cellStyle name="40% - Accent3 2" xfId="10" xr:uid="{3B39D04E-D47C-49DB-95D7-AAED6D0680DE}"/>
    <cellStyle name="40% - Accent4 2" xfId="11" xr:uid="{BC4A6127-A452-4850-8D2F-45840292B41A}"/>
    <cellStyle name="40% - Accent5 2" xfId="12" xr:uid="{C1D796B0-A40A-4D23-9309-9457EBDE2740}"/>
    <cellStyle name="40% - Accent6 2" xfId="13" xr:uid="{57069C3C-327E-444F-82CA-4692C741A23F}"/>
    <cellStyle name="60% - Accent1 2" xfId="14" xr:uid="{603ED9D7-172D-4E03-B4C8-5CA89D0695FE}"/>
    <cellStyle name="60% - Accent2 2" xfId="15" xr:uid="{D5C43E2E-CA8F-4BDD-BFB2-ABCE79CA5DE3}"/>
    <cellStyle name="60% - Accent3 2" xfId="16" xr:uid="{B824B84B-8E98-4981-8130-B0ED023859E6}"/>
    <cellStyle name="60% - Accent4 2" xfId="17" xr:uid="{FF1BBFF1-02ED-4ED0-831F-413115F0BA2D}"/>
    <cellStyle name="60% - Accent5 2" xfId="18" xr:uid="{04C55278-025F-44B2-AEAF-3D12355E49DF}"/>
    <cellStyle name="60% - Accent6 2" xfId="19" xr:uid="{CB3C1344-3B0A-45FE-A61C-987670075F3A}"/>
    <cellStyle name="Accent1 2" xfId="20" xr:uid="{942A8311-1E5C-4723-9DF0-00D482992422}"/>
    <cellStyle name="Accent2 2" xfId="21" xr:uid="{CB8174B0-9723-4CCD-B32A-9D288CE381BF}"/>
    <cellStyle name="Accent3 2" xfId="22" xr:uid="{EDA92DD8-AE0D-4D69-B879-042B360E5343}"/>
    <cellStyle name="Accent4 2" xfId="23" xr:uid="{1ABEE9B8-8132-4F26-9D7D-8752E8B51F1C}"/>
    <cellStyle name="Accent5 2" xfId="24" xr:uid="{6C24EAF5-7F38-42E8-B69E-8C3BA6282B67}"/>
    <cellStyle name="Accent6 2" xfId="25" xr:uid="{5CDCCBB0-C3AB-4778-8CDE-A35FC85478E2}"/>
    <cellStyle name="Bad 2" xfId="26" xr:uid="{D85F66D8-35AA-4A16-9959-0B7561429E3A}"/>
    <cellStyle name="Calculation 2" xfId="27" xr:uid="{EAC7F1BF-38A6-47EC-B196-23005C7A7AF0}"/>
    <cellStyle name="Check Cell 2" xfId="28" xr:uid="{FBDC7462-2792-48C0-B4CD-273858DC7E66}"/>
    <cellStyle name="Comma" xfId="45" builtinId="3"/>
    <cellStyle name="Currency" xfId="44" builtinId="4"/>
    <cellStyle name="Currency 2" xfId="29" xr:uid="{E2A66DA8-205F-40FD-B2A6-0D0DBB476A51}"/>
    <cellStyle name="Explanatory Text 2" xfId="30" xr:uid="{5C564A5A-7C6F-43D8-AB75-2082F9AFF2ED}"/>
    <cellStyle name="Good 2" xfId="31" xr:uid="{4FA4D5E1-FCED-44CB-B733-06CD350480B6}"/>
    <cellStyle name="Heading 1 2" xfId="32" xr:uid="{2D1A1F60-4AAD-418F-8CA1-BDEB44E166B2}"/>
    <cellStyle name="Heading 2 2" xfId="33" xr:uid="{4589B937-EDE8-4BC2-8B0C-0F64403B8DB6}"/>
    <cellStyle name="Heading 3 2" xfId="34" xr:uid="{D9F335C9-F790-4CD6-93F6-DFDD1A8A0DA7}"/>
    <cellStyle name="Heading 4 2" xfId="35" xr:uid="{692C097F-D48D-4156-8C55-AAA999A15696}"/>
    <cellStyle name="Input 2" xfId="36" xr:uid="{F5D51B4F-E3DF-48A0-B0DF-97FE6946F8E3}"/>
    <cellStyle name="Linked Cell 2" xfId="37" xr:uid="{6849D276-DC77-4D51-BD7A-4A9835D10204}"/>
    <cellStyle name="Neutral 2" xfId="38" xr:uid="{E13F321B-3B81-4939-9D0A-8F15BAF2EA2A}"/>
    <cellStyle name="Normal" xfId="0" builtinId="0"/>
    <cellStyle name="Normal 2" xfId="1" xr:uid="{A4A91653-F244-43C6-85B4-4E085F783070}"/>
    <cellStyle name="Note 2" xfId="39" xr:uid="{09C336A6-ADAF-4D92-929D-AFE7A14BBDF3}"/>
    <cellStyle name="Output 2" xfId="40" xr:uid="{924D587E-FDAD-4DD1-BB6A-BF42A1D89E0B}"/>
    <cellStyle name="Title 2" xfId="41" xr:uid="{8712A36F-0002-400A-B3FB-0FA9AF41B7DD}"/>
    <cellStyle name="Total 2" xfId="42" xr:uid="{81E90DA0-E3B0-4326-9E89-17F62047BA9D}"/>
    <cellStyle name="Warning Text 2" xfId="43" xr:uid="{8B50257E-D01E-40D1-8FB2-F0D10A415255}"/>
  </cellStyles>
  <dxfs count="0"/>
  <tableStyles count="1" defaultTableStyle="TableStyleMedium2" defaultPivotStyle="PivotStyleLight16">
    <tableStyle name="Invisible" pivot="0" table="0" count="0" xr9:uid="{C5C19E78-DA72-435B-AF37-6836C5477F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ugan/Downloads/HRPYDBRUNPSG175243496hwdhtquhqwwwsmbkastlqbjvf796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ugan/AppData/Local/Microsoft/Windows/INetCache/Content.Outlook/JPR3HE4S/ESI%20New%20starts%20WE%208.28.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RPYDBRUNPSG175243496hwdhtquhqw"/>
    </sheetNames>
    <sheetDataSet>
      <sheetData sheetId="0" refreshError="1">
        <row r="3">
          <cell r="K3" t="str">
            <v>427-21-6535</v>
          </cell>
        </row>
        <row r="4">
          <cell r="K4" t="str">
            <v>546-99-0094</v>
          </cell>
        </row>
        <row r="5">
          <cell r="K5" t="str">
            <v>602-19-2901</v>
          </cell>
        </row>
        <row r="6">
          <cell r="K6" t="str">
            <v>604-90-8851</v>
          </cell>
        </row>
        <row r="7">
          <cell r="K7" t="str">
            <v>609-04-6070</v>
          </cell>
        </row>
        <row r="8">
          <cell r="K8" t="str">
            <v>615-82-3967</v>
          </cell>
        </row>
        <row r="9">
          <cell r="K9" t="str">
            <v>620-02-7970</v>
          </cell>
        </row>
        <row r="10">
          <cell r="K10" t="str">
            <v>625-04-9761</v>
          </cell>
        </row>
        <row r="11">
          <cell r="K11" t="str">
            <v>625-64-6299</v>
          </cell>
        </row>
        <row r="12">
          <cell r="K12" t="str">
            <v>797-42-1934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 1"/>
    </sheetNames>
    <sheetDataSet>
      <sheetData sheetId="0">
        <row r="3">
          <cell r="H3">
            <v>7188140</v>
          </cell>
          <cell r="I3" t="str">
            <v xml:space="preserve">SB Big Lots                mail </v>
          </cell>
        </row>
        <row r="4">
          <cell r="H4">
            <v>7188140</v>
          </cell>
          <cell r="I4" t="str">
            <v xml:space="preserve">SB Big Lots                mail </v>
          </cell>
        </row>
        <row r="5">
          <cell r="H5">
            <v>7188140</v>
          </cell>
          <cell r="I5" t="str">
            <v xml:space="preserve">SB Big Lots                mail </v>
          </cell>
        </row>
        <row r="6">
          <cell r="H6">
            <v>7188140</v>
          </cell>
          <cell r="I6" t="str">
            <v xml:space="preserve">SB Big Lots                mail </v>
          </cell>
        </row>
        <row r="7">
          <cell r="H7">
            <v>7188140</v>
          </cell>
          <cell r="I7" t="str">
            <v xml:space="preserve">SB Big Lots                mail </v>
          </cell>
        </row>
        <row r="8">
          <cell r="H8">
            <v>7188140</v>
          </cell>
          <cell r="I8" t="str">
            <v xml:space="preserve">SB Big Lots                mail </v>
          </cell>
        </row>
        <row r="9">
          <cell r="H9">
            <v>7188140</v>
          </cell>
          <cell r="I9" t="str">
            <v xml:space="preserve">SB Big Lots                mail </v>
          </cell>
        </row>
        <row r="10">
          <cell r="H10">
            <v>7188140</v>
          </cell>
          <cell r="I10" t="str">
            <v xml:space="preserve">SB Big Lots                mail </v>
          </cell>
        </row>
        <row r="11">
          <cell r="H11">
            <v>7188140</v>
          </cell>
          <cell r="I11" t="str">
            <v xml:space="preserve">SB Big Lots                mail </v>
          </cell>
        </row>
        <row r="12">
          <cell r="H12">
            <v>7188140</v>
          </cell>
          <cell r="I12" t="str">
            <v xml:space="preserve">SB Big Lot's              DD good </v>
          </cell>
        </row>
        <row r="13">
          <cell r="H13">
            <v>7188140</v>
          </cell>
          <cell r="I13" t="str">
            <v xml:space="preserve">SB Big Lots                mail </v>
          </cell>
        </row>
        <row r="14">
          <cell r="H14">
            <v>7188140</v>
          </cell>
          <cell r="I14" t="str">
            <v xml:space="preserve">SB Big Lots                mail </v>
          </cell>
        </row>
        <row r="15">
          <cell r="H15">
            <v>7188140</v>
          </cell>
          <cell r="I15" t="str">
            <v xml:space="preserve">SB Big Lots                mail </v>
          </cell>
        </row>
        <row r="16">
          <cell r="H16">
            <v>7188140</v>
          </cell>
          <cell r="I16" t="str">
            <v xml:space="preserve">SB Big Lots                mail </v>
          </cell>
        </row>
        <row r="17">
          <cell r="H17">
            <v>7188140</v>
          </cell>
          <cell r="I17" t="str">
            <v xml:space="preserve">SB Big Lots                mail </v>
          </cell>
        </row>
        <row r="18">
          <cell r="H18">
            <v>7188140</v>
          </cell>
          <cell r="I18" t="str">
            <v xml:space="preserve">SB Big Lots                mail </v>
          </cell>
        </row>
        <row r="19">
          <cell r="H19">
            <v>7188140</v>
          </cell>
          <cell r="I19" t="str">
            <v xml:space="preserve">SB Big Lots                mail </v>
          </cell>
        </row>
        <row r="20">
          <cell r="H20">
            <v>7188140</v>
          </cell>
          <cell r="I20" t="str">
            <v>SB Big Lots                p/u SB</v>
          </cell>
        </row>
        <row r="21">
          <cell r="H21">
            <v>7188140</v>
          </cell>
          <cell r="I21" t="str">
            <v xml:space="preserve">SB Big Lots                mail </v>
          </cell>
        </row>
        <row r="22">
          <cell r="H22">
            <v>7188140</v>
          </cell>
          <cell r="I22" t="str">
            <v xml:space="preserve">SB Big Lots                mail </v>
          </cell>
        </row>
        <row r="23">
          <cell r="H23">
            <v>7188140</v>
          </cell>
          <cell r="I23" t="str">
            <v xml:space="preserve">SB Big Lots                mail </v>
          </cell>
        </row>
        <row r="24">
          <cell r="H24">
            <v>7188140</v>
          </cell>
          <cell r="I24" t="str">
            <v xml:space="preserve">SB Big Lots                mail </v>
          </cell>
        </row>
        <row r="25">
          <cell r="H25">
            <v>7188140</v>
          </cell>
          <cell r="I25" t="str">
            <v xml:space="preserve">SB Big Lots                mail </v>
          </cell>
        </row>
        <row r="26">
          <cell r="H26">
            <v>7188140</v>
          </cell>
          <cell r="I26" t="str">
            <v xml:space="preserve">SB Big Lots                mail </v>
          </cell>
        </row>
        <row r="27">
          <cell r="H27">
            <v>7188140</v>
          </cell>
          <cell r="I27" t="str">
            <v xml:space="preserve">SB Big Lots                mail </v>
          </cell>
        </row>
        <row r="28">
          <cell r="H28">
            <v>7188189</v>
          </cell>
          <cell r="I28" t="str">
            <v>SB G &amp; B Fulfillment</v>
          </cell>
        </row>
        <row r="29">
          <cell r="H29">
            <v>7188061</v>
          </cell>
          <cell r="I29" t="str">
            <v>SB Sweet Harvest</v>
          </cell>
        </row>
        <row r="30">
          <cell r="H30">
            <v>7188022</v>
          </cell>
          <cell r="I30" t="str">
            <v>SB Haley Bros  4/10</v>
          </cell>
        </row>
        <row r="31">
          <cell r="H31">
            <v>7188022</v>
          </cell>
          <cell r="I31" t="str">
            <v>SB Haley Bros  4/10</v>
          </cell>
        </row>
        <row r="32">
          <cell r="H32">
            <v>7188022</v>
          </cell>
          <cell r="I32" t="str">
            <v>SB Haley Bros  5/8</v>
          </cell>
        </row>
        <row r="33">
          <cell r="H33">
            <v>7188061</v>
          </cell>
          <cell r="I33" t="str">
            <v>SB Sweet Harvest</v>
          </cell>
        </row>
        <row r="34">
          <cell r="H34">
            <v>7188187</v>
          </cell>
          <cell r="I34" t="str">
            <v>SB WMB Windows      clerical</v>
          </cell>
        </row>
        <row r="35">
          <cell r="H35">
            <v>7188098</v>
          </cell>
          <cell r="I35" t="str">
            <v>SB Isolatek   4/10</v>
          </cell>
        </row>
        <row r="36">
          <cell r="H36">
            <v>7188131</v>
          </cell>
          <cell r="I36" t="str">
            <v>SB Nogin</v>
          </cell>
        </row>
        <row r="37">
          <cell r="H37">
            <v>7188061</v>
          </cell>
          <cell r="I37" t="str">
            <v>SB Sweet Harvest</v>
          </cell>
        </row>
        <row r="38">
          <cell r="H38">
            <v>7188140</v>
          </cell>
          <cell r="I38" t="str">
            <v xml:space="preserve">SB Big Lots                mail </v>
          </cell>
        </row>
        <row r="39">
          <cell r="H39">
            <v>7188022</v>
          </cell>
          <cell r="I39" t="str">
            <v>SB Haley Bros</v>
          </cell>
        </row>
        <row r="40">
          <cell r="H40">
            <v>7188131</v>
          </cell>
          <cell r="I40" t="str">
            <v>SB Nogin</v>
          </cell>
        </row>
        <row r="41">
          <cell r="H41">
            <v>7188131</v>
          </cell>
          <cell r="I41" t="str">
            <v>SB Nogin</v>
          </cell>
        </row>
        <row r="42">
          <cell r="H42">
            <v>7188035</v>
          </cell>
          <cell r="I42" t="str">
            <v>SB Orco Block</v>
          </cell>
        </row>
        <row r="43">
          <cell r="H43">
            <v>7188133</v>
          </cell>
          <cell r="I43" t="str">
            <v>SB Trak Motive</v>
          </cell>
        </row>
        <row r="44">
          <cell r="H44">
            <v>7188031</v>
          </cell>
          <cell r="I44" t="str">
            <v>Meiko</v>
          </cell>
        </row>
        <row r="45">
          <cell r="H45">
            <v>7188031</v>
          </cell>
          <cell r="I45" t="str">
            <v>Meiko</v>
          </cell>
        </row>
        <row r="46">
          <cell r="H46">
            <v>7188031</v>
          </cell>
          <cell r="I46" t="str">
            <v>Meiko</v>
          </cell>
        </row>
        <row r="47">
          <cell r="H47">
            <v>7188131</v>
          </cell>
          <cell r="I47" t="str">
            <v>Nogin</v>
          </cell>
        </row>
        <row r="48">
          <cell r="H48">
            <v>7188131</v>
          </cell>
          <cell r="I48" t="str">
            <v>Nogin</v>
          </cell>
        </row>
        <row r="49">
          <cell r="H49">
            <v>7188167</v>
          </cell>
          <cell r="I49" t="str">
            <v>Kawasaki</v>
          </cell>
        </row>
        <row r="50">
          <cell r="H50">
            <v>7188027</v>
          </cell>
          <cell r="I50" t="str">
            <v>Quinn            Clerical</v>
          </cell>
        </row>
        <row r="51">
          <cell r="H51">
            <v>7188150</v>
          </cell>
          <cell r="I51" t="str">
            <v>Jomar</v>
          </cell>
        </row>
        <row r="52">
          <cell r="H52">
            <v>7188035</v>
          </cell>
          <cell r="I52" t="str">
            <v>Orco</v>
          </cell>
        </row>
        <row r="53">
          <cell r="H53">
            <v>7188187</v>
          </cell>
          <cell r="I53" t="str">
            <v>WMB Windows</v>
          </cell>
        </row>
        <row r="54">
          <cell r="H54">
            <v>7188083</v>
          </cell>
          <cell r="I54" t="str">
            <v>Floor &amp; Décor</v>
          </cell>
        </row>
        <row r="55">
          <cell r="H55">
            <v>7188083</v>
          </cell>
          <cell r="I55" t="str">
            <v>Floor &amp; Décor</v>
          </cell>
        </row>
        <row r="56">
          <cell r="H56">
            <v>7188083</v>
          </cell>
          <cell r="I56" t="str">
            <v>Floor &amp; Décor</v>
          </cell>
        </row>
        <row r="57">
          <cell r="H57">
            <v>7188083</v>
          </cell>
          <cell r="I57" t="str">
            <v>Floor &amp; Décor</v>
          </cell>
        </row>
        <row r="58">
          <cell r="H58">
            <v>7188083</v>
          </cell>
          <cell r="I58" t="str">
            <v>Floor &amp; Décor</v>
          </cell>
        </row>
        <row r="59">
          <cell r="H59">
            <v>7188083</v>
          </cell>
          <cell r="I59" t="str">
            <v>Floor &amp; Décor</v>
          </cell>
        </row>
        <row r="60">
          <cell r="H60">
            <v>7188083</v>
          </cell>
          <cell r="I60" t="str">
            <v>Floor &amp; Décor             clerical</v>
          </cell>
        </row>
        <row r="61">
          <cell r="H61">
            <v>7188083</v>
          </cell>
          <cell r="I61" t="str">
            <v>Floor &amp; Décor</v>
          </cell>
        </row>
        <row r="62">
          <cell r="H62">
            <v>7188083</v>
          </cell>
          <cell r="I62" t="str">
            <v>Floor &amp; Décor</v>
          </cell>
        </row>
        <row r="63">
          <cell r="H63">
            <v>7188140</v>
          </cell>
          <cell r="I63" t="str">
            <v xml:space="preserve">SB Big Lots                mail </v>
          </cell>
        </row>
        <row r="64">
          <cell r="H64">
            <v>7188131</v>
          </cell>
          <cell r="I64" t="str">
            <v>SB Nogin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21B1B-44E4-4C16-8F88-DEF5335EDCD6}">
  <sheetPr codeName="Sheet1"/>
  <dimension ref="A1:R68"/>
  <sheetViews>
    <sheetView topLeftCell="A46" zoomScale="112" zoomScaleNormal="112" workbookViewId="0">
      <selection activeCell="B51" sqref="B51"/>
    </sheetView>
  </sheetViews>
  <sheetFormatPr defaultColWidth="8.85546875" defaultRowHeight="15" x14ac:dyDescent="0.25"/>
  <cols>
    <col min="3" max="3" width="13" customWidth="1"/>
    <col min="14" max="14" width="10" customWidth="1"/>
    <col min="15" max="15" width="11.42578125" customWidth="1"/>
  </cols>
  <sheetData>
    <row r="1" spans="1:18" ht="38.25" x14ac:dyDescent="0.25">
      <c r="A1" s="10" t="s">
        <v>144</v>
      </c>
      <c r="B1" s="5" t="s">
        <v>139</v>
      </c>
      <c r="C1" s="6" t="s">
        <v>140</v>
      </c>
      <c r="D1" s="4" t="s">
        <v>152</v>
      </c>
      <c r="E1" s="4" t="s">
        <v>151</v>
      </c>
      <c r="F1" s="4" t="s">
        <v>153</v>
      </c>
      <c r="G1" s="7" t="s">
        <v>154</v>
      </c>
      <c r="H1" s="8" t="s">
        <v>141</v>
      </c>
      <c r="I1" s="4" t="s">
        <v>142</v>
      </c>
      <c r="J1" s="8" t="s">
        <v>155</v>
      </c>
      <c r="K1" s="4" t="s">
        <v>4</v>
      </c>
      <c r="L1" s="4" t="s">
        <v>5</v>
      </c>
      <c r="M1" s="8" t="s">
        <v>3</v>
      </c>
      <c r="N1" s="4" t="s">
        <v>156</v>
      </c>
      <c r="O1" s="4" t="s">
        <v>157</v>
      </c>
      <c r="P1" s="9" t="s">
        <v>143</v>
      </c>
      <c r="Q1" s="4" t="s">
        <v>12</v>
      </c>
      <c r="R1" s="10" t="s">
        <v>145</v>
      </c>
    </row>
    <row r="2" spans="1:18" x14ac:dyDescent="0.25">
      <c r="A2" s="24">
        <v>44795</v>
      </c>
      <c r="B2" s="25"/>
      <c r="C2" s="25" t="s">
        <v>253</v>
      </c>
      <c r="D2" s="25" t="s">
        <v>254</v>
      </c>
      <c r="E2" s="25" t="s">
        <v>255</v>
      </c>
      <c r="F2" s="26"/>
      <c r="G2" s="26">
        <v>15.26</v>
      </c>
      <c r="H2" s="27">
        <v>7188140</v>
      </c>
      <c r="I2" s="25" t="s">
        <v>256</v>
      </c>
      <c r="J2" s="25" t="s">
        <v>257</v>
      </c>
      <c r="K2" s="25" t="s">
        <v>241</v>
      </c>
      <c r="L2" s="27" t="s">
        <v>137</v>
      </c>
      <c r="M2" s="27">
        <v>92307</v>
      </c>
      <c r="N2" s="27" t="s">
        <v>136</v>
      </c>
      <c r="O2" s="28">
        <v>0</v>
      </c>
      <c r="P2" s="2"/>
      <c r="Q2" s="27" t="s">
        <v>138</v>
      </c>
      <c r="R2" s="29">
        <v>37269</v>
      </c>
    </row>
    <row r="3" spans="1:18" x14ac:dyDescent="0.25">
      <c r="A3" s="36">
        <v>44796</v>
      </c>
      <c r="B3" s="39"/>
      <c r="C3" s="35" t="s">
        <v>258</v>
      </c>
      <c r="D3" s="25" t="s">
        <v>259</v>
      </c>
      <c r="E3" s="25" t="s">
        <v>260</v>
      </c>
      <c r="F3" s="26"/>
      <c r="G3" s="26">
        <v>15</v>
      </c>
      <c r="H3" s="27">
        <v>7188140</v>
      </c>
      <c r="I3" s="25" t="s">
        <v>261</v>
      </c>
      <c r="J3" s="25" t="s">
        <v>262</v>
      </c>
      <c r="K3" s="25" t="s">
        <v>263</v>
      </c>
      <c r="L3" s="27" t="s">
        <v>137</v>
      </c>
      <c r="M3" s="27">
        <v>92301</v>
      </c>
      <c r="N3" s="27" t="s">
        <v>235</v>
      </c>
      <c r="O3" s="28">
        <v>6000</v>
      </c>
      <c r="P3" s="2"/>
      <c r="Q3" s="27" t="s">
        <v>147</v>
      </c>
      <c r="R3" s="29">
        <v>35888</v>
      </c>
    </row>
    <row r="4" spans="1:18" x14ac:dyDescent="0.25">
      <c r="A4" s="18">
        <v>43497</v>
      </c>
      <c r="B4" s="19"/>
      <c r="C4" s="19" t="s">
        <v>264</v>
      </c>
      <c r="D4" s="19" t="s">
        <v>265</v>
      </c>
      <c r="E4" s="19" t="s">
        <v>266</v>
      </c>
      <c r="F4" s="20"/>
      <c r="G4" s="20">
        <v>15</v>
      </c>
      <c r="H4" s="21">
        <v>7188140</v>
      </c>
      <c r="I4" s="19" t="s">
        <v>261</v>
      </c>
      <c r="J4" s="19" t="s">
        <v>267</v>
      </c>
      <c r="K4" s="19" t="s">
        <v>241</v>
      </c>
      <c r="L4" s="21" t="s">
        <v>137</v>
      </c>
      <c r="M4" s="21">
        <v>92308</v>
      </c>
      <c r="N4" s="30" t="s">
        <v>136</v>
      </c>
      <c r="O4" s="31">
        <v>500</v>
      </c>
      <c r="P4" s="3"/>
      <c r="Q4" s="21" t="s">
        <v>147</v>
      </c>
      <c r="R4" s="23">
        <v>26091</v>
      </c>
    </row>
    <row r="5" spans="1:18" x14ac:dyDescent="0.25">
      <c r="A5" s="24">
        <v>44796</v>
      </c>
      <c r="B5" s="25"/>
      <c r="C5" s="25" t="s">
        <v>268</v>
      </c>
      <c r="D5" s="25" t="s">
        <v>269</v>
      </c>
      <c r="E5" s="25" t="s">
        <v>270</v>
      </c>
      <c r="F5" s="26"/>
      <c r="G5" s="26">
        <v>15</v>
      </c>
      <c r="H5" s="27">
        <v>7188140</v>
      </c>
      <c r="I5" s="25" t="s">
        <v>271</v>
      </c>
      <c r="J5" s="25" t="s">
        <v>272</v>
      </c>
      <c r="K5" s="25" t="s">
        <v>237</v>
      </c>
      <c r="L5" s="27" t="s">
        <v>137</v>
      </c>
      <c r="M5" s="27">
        <v>92394</v>
      </c>
      <c r="N5" s="27" t="s">
        <v>136</v>
      </c>
      <c r="O5" s="28">
        <v>0</v>
      </c>
      <c r="P5" s="2"/>
      <c r="Q5" s="27" t="s">
        <v>147</v>
      </c>
      <c r="R5" s="29">
        <v>37798</v>
      </c>
    </row>
    <row r="6" spans="1:18" x14ac:dyDescent="0.25">
      <c r="A6" s="36">
        <v>44796</v>
      </c>
      <c r="B6" s="25"/>
      <c r="C6" s="25" t="s">
        <v>273</v>
      </c>
      <c r="D6" s="25" t="s">
        <v>274</v>
      </c>
      <c r="E6" s="25" t="s">
        <v>275</v>
      </c>
      <c r="F6" s="26"/>
      <c r="G6" s="26">
        <v>15</v>
      </c>
      <c r="H6" s="27">
        <v>7188140</v>
      </c>
      <c r="I6" s="25" t="s">
        <v>271</v>
      </c>
      <c r="J6" s="25" t="s">
        <v>276</v>
      </c>
      <c r="K6" s="25" t="s">
        <v>277</v>
      </c>
      <c r="L6" s="27" t="s">
        <v>137</v>
      </c>
      <c r="M6" s="27">
        <v>92345</v>
      </c>
      <c r="N6" s="27" t="s">
        <v>136</v>
      </c>
      <c r="O6" s="28">
        <v>0</v>
      </c>
      <c r="P6" s="2"/>
      <c r="Q6" s="27" t="s">
        <v>138</v>
      </c>
      <c r="R6" s="29">
        <v>35651</v>
      </c>
    </row>
    <row r="7" spans="1:18" x14ac:dyDescent="0.25">
      <c r="A7" s="24">
        <v>44795</v>
      </c>
      <c r="B7" s="25"/>
      <c r="C7" s="25" t="s">
        <v>278</v>
      </c>
      <c r="D7" s="25" t="s">
        <v>279</v>
      </c>
      <c r="E7" s="25" t="s">
        <v>280</v>
      </c>
      <c r="F7" s="26"/>
      <c r="G7" s="26">
        <v>15</v>
      </c>
      <c r="H7" s="27">
        <v>7188140</v>
      </c>
      <c r="I7" s="25" t="s">
        <v>261</v>
      </c>
      <c r="J7" s="25" t="s">
        <v>281</v>
      </c>
      <c r="K7" s="25" t="s">
        <v>237</v>
      </c>
      <c r="L7" s="27" t="s">
        <v>137</v>
      </c>
      <c r="M7" s="27">
        <v>92394</v>
      </c>
      <c r="N7" s="27" t="s">
        <v>235</v>
      </c>
      <c r="O7" s="28">
        <v>7000</v>
      </c>
      <c r="P7" s="2"/>
      <c r="Q7" s="27" t="s">
        <v>138</v>
      </c>
      <c r="R7" s="29">
        <v>35205</v>
      </c>
    </row>
    <row r="8" spans="1:18" x14ac:dyDescent="0.25">
      <c r="A8" s="24">
        <v>44795</v>
      </c>
      <c r="B8" s="25"/>
      <c r="C8" s="25" t="s">
        <v>282</v>
      </c>
      <c r="D8" s="25" t="s">
        <v>283</v>
      </c>
      <c r="E8" s="25" t="s">
        <v>284</v>
      </c>
      <c r="F8" s="26"/>
      <c r="G8" s="26">
        <v>15</v>
      </c>
      <c r="H8" s="27">
        <v>7188140</v>
      </c>
      <c r="I8" s="25" t="s">
        <v>261</v>
      </c>
      <c r="J8" s="25" t="s">
        <v>285</v>
      </c>
      <c r="K8" s="25" t="s">
        <v>237</v>
      </c>
      <c r="L8" s="27" t="s">
        <v>137</v>
      </c>
      <c r="M8" s="27">
        <v>92392</v>
      </c>
      <c r="N8" s="27" t="s">
        <v>136</v>
      </c>
      <c r="O8" s="28">
        <v>0</v>
      </c>
      <c r="P8" s="2"/>
      <c r="Q8" s="27" t="s">
        <v>138</v>
      </c>
      <c r="R8" s="29">
        <v>37606</v>
      </c>
    </row>
    <row r="9" spans="1:18" x14ac:dyDescent="0.25">
      <c r="A9" s="24">
        <v>44795</v>
      </c>
      <c r="B9" s="25"/>
      <c r="C9" s="25" t="s">
        <v>286</v>
      </c>
      <c r="D9" s="25" t="s">
        <v>287</v>
      </c>
      <c r="E9" s="25" t="s">
        <v>288</v>
      </c>
      <c r="F9" s="26"/>
      <c r="G9" s="26">
        <v>15</v>
      </c>
      <c r="H9" s="27">
        <v>7188140</v>
      </c>
      <c r="I9" s="25" t="s">
        <v>261</v>
      </c>
      <c r="J9" s="25" t="s">
        <v>289</v>
      </c>
      <c r="K9" s="25" t="s">
        <v>241</v>
      </c>
      <c r="L9" s="27" t="s">
        <v>137</v>
      </c>
      <c r="M9" s="27">
        <v>92308</v>
      </c>
      <c r="N9" s="27" t="s">
        <v>136</v>
      </c>
      <c r="O9" s="28">
        <v>0</v>
      </c>
      <c r="P9" s="2"/>
      <c r="Q9" s="27" t="s">
        <v>138</v>
      </c>
      <c r="R9" s="29">
        <v>37698</v>
      </c>
    </row>
    <row r="10" spans="1:18" x14ac:dyDescent="0.25">
      <c r="A10" s="38">
        <v>44796</v>
      </c>
      <c r="B10" s="25"/>
      <c r="C10" s="25" t="s">
        <v>290</v>
      </c>
      <c r="D10" s="25" t="s">
        <v>291</v>
      </c>
      <c r="E10" s="25" t="s">
        <v>292</v>
      </c>
      <c r="F10" s="26"/>
      <c r="G10" s="26">
        <v>15</v>
      </c>
      <c r="H10" s="27">
        <v>7188140</v>
      </c>
      <c r="I10" s="25" t="s">
        <v>261</v>
      </c>
      <c r="J10" s="25" t="s">
        <v>293</v>
      </c>
      <c r="K10" s="25" t="s">
        <v>241</v>
      </c>
      <c r="L10" s="27" t="s">
        <v>137</v>
      </c>
      <c r="M10" s="27">
        <v>92308</v>
      </c>
      <c r="N10" s="27" t="s">
        <v>136</v>
      </c>
      <c r="O10" s="28">
        <v>0</v>
      </c>
      <c r="P10" s="2"/>
      <c r="Q10" s="27" t="s">
        <v>138</v>
      </c>
      <c r="R10" s="29">
        <v>36851</v>
      </c>
    </row>
    <row r="11" spans="1:18" x14ac:dyDescent="0.25">
      <c r="A11" s="37">
        <v>44406</v>
      </c>
      <c r="B11" s="19"/>
      <c r="C11" s="19" t="s">
        <v>294</v>
      </c>
      <c r="D11" s="19" t="s">
        <v>295</v>
      </c>
      <c r="E11" s="19" t="s">
        <v>296</v>
      </c>
      <c r="F11" s="20"/>
      <c r="G11" s="20">
        <v>15</v>
      </c>
      <c r="H11" s="21">
        <v>7188140</v>
      </c>
      <c r="I11" s="19" t="s">
        <v>297</v>
      </c>
      <c r="J11" s="19" t="s">
        <v>298</v>
      </c>
      <c r="K11" s="19" t="s">
        <v>237</v>
      </c>
      <c r="L11" s="21" t="s">
        <v>137</v>
      </c>
      <c r="M11" s="21">
        <v>92394</v>
      </c>
      <c r="N11" s="21" t="s">
        <v>136</v>
      </c>
      <c r="O11" s="22">
        <v>0</v>
      </c>
      <c r="P11" s="3"/>
      <c r="Q11" s="21" t="s">
        <v>138</v>
      </c>
      <c r="R11" s="23">
        <v>31988</v>
      </c>
    </row>
    <row r="12" spans="1:18" x14ac:dyDescent="0.25">
      <c r="A12" s="24">
        <v>44795</v>
      </c>
      <c r="B12" s="25"/>
      <c r="C12" s="25" t="s">
        <v>299</v>
      </c>
      <c r="D12" s="25" t="s">
        <v>300</v>
      </c>
      <c r="E12" s="25" t="s">
        <v>301</v>
      </c>
      <c r="F12" s="26"/>
      <c r="G12" s="26">
        <v>15.26</v>
      </c>
      <c r="H12" s="27">
        <v>7188140</v>
      </c>
      <c r="I12" s="25" t="s">
        <v>271</v>
      </c>
      <c r="J12" s="25" t="s">
        <v>302</v>
      </c>
      <c r="K12" s="25" t="s">
        <v>263</v>
      </c>
      <c r="L12" s="27" t="s">
        <v>137</v>
      </c>
      <c r="M12" s="27">
        <v>92301</v>
      </c>
      <c r="N12" s="27" t="s">
        <v>136</v>
      </c>
      <c r="O12" s="28">
        <v>0</v>
      </c>
      <c r="P12" s="2"/>
      <c r="Q12" s="27" t="s">
        <v>138</v>
      </c>
      <c r="R12" s="29">
        <v>36781</v>
      </c>
    </row>
    <row r="13" spans="1:18" x14ac:dyDescent="0.25">
      <c r="A13" s="24">
        <v>44795</v>
      </c>
      <c r="B13" s="25"/>
      <c r="C13" s="25" t="s">
        <v>303</v>
      </c>
      <c r="D13" s="25" t="s">
        <v>304</v>
      </c>
      <c r="E13" s="25" t="s">
        <v>305</v>
      </c>
      <c r="F13" s="26"/>
      <c r="G13" s="26">
        <v>15.26</v>
      </c>
      <c r="H13" s="27">
        <v>7188140</v>
      </c>
      <c r="I13" s="25" t="s">
        <v>271</v>
      </c>
      <c r="J13" s="25" t="s">
        <v>306</v>
      </c>
      <c r="K13" s="25" t="s">
        <v>237</v>
      </c>
      <c r="L13" s="27" t="s">
        <v>137</v>
      </c>
      <c r="M13" s="27">
        <v>92392</v>
      </c>
      <c r="N13" s="27" t="s">
        <v>136</v>
      </c>
      <c r="O13" s="28">
        <v>0</v>
      </c>
      <c r="P13" s="2"/>
      <c r="Q13" s="27" t="s">
        <v>138</v>
      </c>
      <c r="R13" s="29">
        <v>37184</v>
      </c>
    </row>
    <row r="14" spans="1:18" x14ac:dyDescent="0.25">
      <c r="A14" s="24">
        <v>44795</v>
      </c>
      <c r="B14" s="25"/>
      <c r="C14" s="25" t="s">
        <v>307</v>
      </c>
      <c r="D14" s="25" t="s">
        <v>308</v>
      </c>
      <c r="E14" s="25" t="s">
        <v>309</v>
      </c>
      <c r="F14" s="26"/>
      <c r="G14" s="26">
        <v>15.26</v>
      </c>
      <c r="H14" s="27">
        <v>7188140</v>
      </c>
      <c r="I14" s="25" t="s">
        <v>271</v>
      </c>
      <c r="J14" s="25" t="s">
        <v>310</v>
      </c>
      <c r="K14" s="25" t="s">
        <v>237</v>
      </c>
      <c r="L14" s="27" t="s">
        <v>137</v>
      </c>
      <c r="M14" s="27">
        <v>92392</v>
      </c>
      <c r="N14" s="27" t="s">
        <v>136</v>
      </c>
      <c r="O14" s="28">
        <v>0</v>
      </c>
      <c r="P14" s="2"/>
      <c r="Q14" s="27" t="s">
        <v>138</v>
      </c>
      <c r="R14" s="29">
        <v>38007</v>
      </c>
    </row>
    <row r="15" spans="1:18" x14ac:dyDescent="0.25">
      <c r="A15" s="24">
        <v>44795</v>
      </c>
      <c r="B15" s="25"/>
      <c r="C15" s="25" t="s">
        <v>311</v>
      </c>
      <c r="D15" s="25" t="s">
        <v>312</v>
      </c>
      <c r="E15" s="25" t="s">
        <v>313</v>
      </c>
      <c r="F15" s="26"/>
      <c r="G15" s="26">
        <v>15.26</v>
      </c>
      <c r="H15" s="27">
        <v>7188140</v>
      </c>
      <c r="I15" s="25" t="s">
        <v>271</v>
      </c>
      <c r="J15" s="25" t="s">
        <v>314</v>
      </c>
      <c r="K15" s="25" t="s">
        <v>237</v>
      </c>
      <c r="L15" s="27" t="s">
        <v>137</v>
      </c>
      <c r="M15" s="27">
        <v>92392</v>
      </c>
      <c r="N15" s="27" t="s">
        <v>136</v>
      </c>
      <c r="O15" s="28">
        <v>0</v>
      </c>
      <c r="P15" s="2"/>
      <c r="Q15" s="27" t="s">
        <v>138</v>
      </c>
      <c r="R15" s="29">
        <v>38113</v>
      </c>
    </row>
    <row r="16" spans="1:18" x14ac:dyDescent="0.25">
      <c r="A16" s="24">
        <v>44795</v>
      </c>
      <c r="B16" s="25"/>
      <c r="C16" s="25" t="s">
        <v>315</v>
      </c>
      <c r="D16" s="25" t="s">
        <v>316</v>
      </c>
      <c r="E16" s="25" t="s">
        <v>317</v>
      </c>
      <c r="F16" s="26"/>
      <c r="G16" s="26">
        <v>15.26</v>
      </c>
      <c r="H16" s="27">
        <v>7188140</v>
      </c>
      <c r="I16" s="25" t="s">
        <v>261</v>
      </c>
      <c r="J16" s="25" t="s">
        <v>318</v>
      </c>
      <c r="K16" s="25" t="s">
        <v>277</v>
      </c>
      <c r="L16" s="27" t="s">
        <v>137</v>
      </c>
      <c r="M16" s="27">
        <v>92345</v>
      </c>
      <c r="N16" s="27" t="s">
        <v>136</v>
      </c>
      <c r="O16" s="28">
        <v>0</v>
      </c>
      <c r="P16" s="2"/>
      <c r="Q16" s="27" t="s">
        <v>138</v>
      </c>
      <c r="R16" s="29">
        <v>37698</v>
      </c>
    </row>
    <row r="17" spans="1:18" x14ac:dyDescent="0.25">
      <c r="A17" s="24">
        <v>44797</v>
      </c>
      <c r="B17" s="25"/>
      <c r="C17" s="25" t="s">
        <v>319</v>
      </c>
      <c r="D17" s="25" t="s">
        <v>320</v>
      </c>
      <c r="E17" s="25" t="s">
        <v>321</v>
      </c>
      <c r="F17" s="26"/>
      <c r="G17" s="26">
        <v>15</v>
      </c>
      <c r="H17" s="27">
        <v>7188140</v>
      </c>
      <c r="I17" s="25" t="s">
        <v>271</v>
      </c>
      <c r="J17" s="25" t="s">
        <v>322</v>
      </c>
      <c r="K17" s="25" t="s">
        <v>237</v>
      </c>
      <c r="L17" s="27" t="s">
        <v>137</v>
      </c>
      <c r="M17" s="27">
        <v>92395</v>
      </c>
      <c r="N17" s="27" t="s">
        <v>136</v>
      </c>
      <c r="O17" s="28">
        <v>0</v>
      </c>
      <c r="P17" s="2"/>
      <c r="Q17" s="27" t="s">
        <v>138</v>
      </c>
      <c r="R17" s="29">
        <v>37301</v>
      </c>
    </row>
    <row r="18" spans="1:18" x14ac:dyDescent="0.25">
      <c r="A18" s="24">
        <v>44797</v>
      </c>
      <c r="B18" s="25"/>
      <c r="C18" s="25" t="s">
        <v>323</v>
      </c>
      <c r="D18" s="25" t="s">
        <v>324</v>
      </c>
      <c r="E18" s="25" t="s">
        <v>325</v>
      </c>
      <c r="F18" s="26"/>
      <c r="G18" s="26">
        <v>15</v>
      </c>
      <c r="H18" s="27">
        <v>7188140</v>
      </c>
      <c r="I18" s="25" t="s">
        <v>256</v>
      </c>
      <c r="J18" s="25" t="s">
        <v>326</v>
      </c>
      <c r="K18" s="25" t="s">
        <v>263</v>
      </c>
      <c r="L18" s="27" t="s">
        <v>137</v>
      </c>
      <c r="M18" s="27">
        <v>92301</v>
      </c>
      <c r="N18" s="27" t="s">
        <v>136</v>
      </c>
      <c r="O18" s="28">
        <v>0</v>
      </c>
      <c r="P18" s="2"/>
      <c r="Q18" s="27" t="s">
        <v>138</v>
      </c>
      <c r="R18" s="29">
        <v>36736</v>
      </c>
    </row>
    <row r="19" spans="1:18" x14ac:dyDescent="0.25">
      <c r="A19" s="24">
        <v>44797</v>
      </c>
      <c r="B19" s="25"/>
      <c r="C19" s="25" t="s">
        <v>327</v>
      </c>
      <c r="D19" s="25" t="s">
        <v>328</v>
      </c>
      <c r="E19" s="25" t="s">
        <v>329</v>
      </c>
      <c r="F19" s="26"/>
      <c r="G19" s="26">
        <v>15</v>
      </c>
      <c r="H19" s="27">
        <v>7188140</v>
      </c>
      <c r="I19" s="25" t="s">
        <v>330</v>
      </c>
      <c r="J19" s="25" t="s">
        <v>331</v>
      </c>
      <c r="K19" s="25" t="s">
        <v>237</v>
      </c>
      <c r="L19" s="27" t="s">
        <v>137</v>
      </c>
      <c r="M19" s="27">
        <v>92395</v>
      </c>
      <c r="N19" s="27" t="s">
        <v>235</v>
      </c>
      <c r="O19" s="28" t="s">
        <v>252</v>
      </c>
      <c r="P19" s="2"/>
      <c r="Q19" s="27" t="s">
        <v>138</v>
      </c>
      <c r="R19" s="29">
        <v>34249</v>
      </c>
    </row>
    <row r="20" spans="1:18" x14ac:dyDescent="0.25">
      <c r="A20" s="24">
        <v>44797</v>
      </c>
      <c r="B20" s="25"/>
      <c r="C20" s="25" t="s">
        <v>332</v>
      </c>
      <c r="D20" s="25" t="s">
        <v>333</v>
      </c>
      <c r="E20" s="25" t="s">
        <v>251</v>
      </c>
      <c r="F20" s="26"/>
      <c r="G20" s="26">
        <v>15</v>
      </c>
      <c r="H20" s="27">
        <v>7188140</v>
      </c>
      <c r="I20" s="25" t="s">
        <v>334</v>
      </c>
      <c r="J20" s="25" t="s">
        <v>335</v>
      </c>
      <c r="K20" s="25" t="s">
        <v>241</v>
      </c>
      <c r="L20" s="27" t="s">
        <v>137</v>
      </c>
      <c r="M20" s="27">
        <v>92308</v>
      </c>
      <c r="N20" s="27" t="s">
        <v>136</v>
      </c>
      <c r="O20" s="28">
        <v>0</v>
      </c>
      <c r="P20" s="2"/>
      <c r="Q20" s="27" t="s">
        <v>138</v>
      </c>
      <c r="R20" s="29">
        <v>37877</v>
      </c>
    </row>
    <row r="21" spans="1:18" x14ac:dyDescent="0.25">
      <c r="A21" s="24">
        <v>44796</v>
      </c>
      <c r="B21" s="25"/>
      <c r="C21" s="25" t="s">
        <v>336</v>
      </c>
      <c r="D21" s="25" t="s">
        <v>337</v>
      </c>
      <c r="E21" s="25" t="s">
        <v>338</v>
      </c>
      <c r="F21" s="26"/>
      <c r="G21" s="26">
        <v>15.26</v>
      </c>
      <c r="H21" s="27">
        <v>7188140</v>
      </c>
      <c r="I21" s="25" t="s">
        <v>271</v>
      </c>
      <c r="J21" s="25" t="s">
        <v>339</v>
      </c>
      <c r="K21" s="25" t="s">
        <v>236</v>
      </c>
      <c r="L21" s="27" t="s">
        <v>137</v>
      </c>
      <c r="M21" s="27">
        <v>92311</v>
      </c>
      <c r="N21" s="27" t="s">
        <v>235</v>
      </c>
      <c r="O21" s="28">
        <v>1000</v>
      </c>
      <c r="P21" s="2"/>
      <c r="Q21" s="27" t="s">
        <v>138</v>
      </c>
      <c r="R21" s="29">
        <v>30719</v>
      </c>
    </row>
    <row r="22" spans="1:18" x14ac:dyDescent="0.25">
      <c r="A22" s="24">
        <v>44797</v>
      </c>
      <c r="B22" s="25"/>
      <c r="C22" s="25" t="s">
        <v>340</v>
      </c>
      <c r="D22" s="25" t="s">
        <v>341</v>
      </c>
      <c r="E22" s="25" t="s">
        <v>242</v>
      </c>
      <c r="F22" s="26"/>
      <c r="G22" s="26">
        <v>15.26</v>
      </c>
      <c r="H22" s="27">
        <v>7188140</v>
      </c>
      <c r="I22" s="25" t="s">
        <v>271</v>
      </c>
      <c r="J22" s="25" t="s">
        <v>342</v>
      </c>
      <c r="K22" s="25" t="s">
        <v>237</v>
      </c>
      <c r="L22" s="27" t="s">
        <v>137</v>
      </c>
      <c r="M22" s="27">
        <v>92395</v>
      </c>
      <c r="N22" s="27" t="s">
        <v>136</v>
      </c>
      <c r="O22" s="28">
        <v>0</v>
      </c>
      <c r="P22" s="2"/>
      <c r="Q22" s="27" t="s">
        <v>138</v>
      </c>
      <c r="R22" s="29">
        <v>37986</v>
      </c>
    </row>
    <row r="23" spans="1:18" x14ac:dyDescent="0.25">
      <c r="A23" s="24">
        <v>44797</v>
      </c>
      <c r="B23" s="25"/>
      <c r="C23" s="25" t="s">
        <v>343</v>
      </c>
      <c r="D23" s="25" t="s">
        <v>240</v>
      </c>
      <c r="E23" s="25" t="s">
        <v>344</v>
      </c>
      <c r="F23" s="26"/>
      <c r="G23" s="26">
        <v>15.26</v>
      </c>
      <c r="H23" s="27">
        <v>7188140</v>
      </c>
      <c r="I23" s="25" t="s">
        <v>261</v>
      </c>
      <c r="J23" s="25" t="s">
        <v>345</v>
      </c>
      <c r="K23" s="25" t="s">
        <v>237</v>
      </c>
      <c r="L23" s="27" t="s">
        <v>137</v>
      </c>
      <c r="M23" s="27">
        <v>92394</v>
      </c>
      <c r="N23" s="27" t="s">
        <v>136</v>
      </c>
      <c r="O23" s="28">
        <v>0</v>
      </c>
      <c r="P23" s="2"/>
      <c r="Q23" s="27" t="s">
        <v>138</v>
      </c>
      <c r="R23" s="29">
        <v>38187</v>
      </c>
    </row>
    <row r="24" spans="1:18" x14ac:dyDescent="0.25">
      <c r="A24" s="24">
        <v>44797</v>
      </c>
      <c r="B24" s="25"/>
      <c r="C24" s="25" t="s">
        <v>346</v>
      </c>
      <c r="D24" s="25" t="s">
        <v>347</v>
      </c>
      <c r="E24" s="25" t="s">
        <v>305</v>
      </c>
      <c r="F24" s="26"/>
      <c r="G24" s="26">
        <v>15.26</v>
      </c>
      <c r="H24" s="27">
        <v>7188140</v>
      </c>
      <c r="I24" s="25" t="s">
        <v>261</v>
      </c>
      <c r="J24" s="25" t="s">
        <v>348</v>
      </c>
      <c r="K24" s="25" t="s">
        <v>237</v>
      </c>
      <c r="L24" s="27" t="s">
        <v>137</v>
      </c>
      <c r="M24" s="27">
        <v>92395</v>
      </c>
      <c r="N24" s="27" t="s">
        <v>136</v>
      </c>
      <c r="O24" s="28">
        <v>0</v>
      </c>
      <c r="P24" s="2"/>
      <c r="Q24" s="27" t="s">
        <v>138</v>
      </c>
      <c r="R24" s="29">
        <v>37879</v>
      </c>
    </row>
    <row r="25" spans="1:18" x14ac:dyDescent="0.25">
      <c r="A25" s="24">
        <v>44797</v>
      </c>
      <c r="B25" s="25"/>
      <c r="C25" s="25" t="s">
        <v>349</v>
      </c>
      <c r="D25" s="25" t="s">
        <v>350</v>
      </c>
      <c r="E25" s="25" t="s">
        <v>351</v>
      </c>
      <c r="F25" s="26"/>
      <c r="G25" s="26">
        <v>15.26</v>
      </c>
      <c r="H25" s="27">
        <v>7188140</v>
      </c>
      <c r="I25" s="25" t="s">
        <v>261</v>
      </c>
      <c r="J25" s="25" t="s">
        <v>352</v>
      </c>
      <c r="K25" s="25" t="s">
        <v>277</v>
      </c>
      <c r="L25" s="27" t="s">
        <v>137</v>
      </c>
      <c r="M25" s="27">
        <v>92345</v>
      </c>
      <c r="N25" s="27" t="s">
        <v>136</v>
      </c>
      <c r="O25" s="28">
        <v>0</v>
      </c>
      <c r="P25" s="2"/>
      <c r="Q25" s="27" t="s">
        <v>138</v>
      </c>
      <c r="R25" s="29">
        <v>38184</v>
      </c>
    </row>
    <row r="26" spans="1:18" x14ac:dyDescent="0.25">
      <c r="A26" s="37">
        <v>44797</v>
      </c>
      <c r="B26" s="39"/>
      <c r="C26" s="25" t="s">
        <v>353</v>
      </c>
      <c r="D26" s="25" t="s">
        <v>354</v>
      </c>
      <c r="E26" s="25" t="s">
        <v>355</v>
      </c>
      <c r="F26" s="26"/>
      <c r="G26" s="26">
        <v>15</v>
      </c>
      <c r="H26" s="27">
        <v>7188140</v>
      </c>
      <c r="I26" s="25" t="s">
        <v>261</v>
      </c>
      <c r="J26" s="25" t="s">
        <v>356</v>
      </c>
      <c r="K26" s="25" t="s">
        <v>237</v>
      </c>
      <c r="L26" s="27" t="s">
        <v>137</v>
      </c>
      <c r="M26" s="27">
        <v>92398</v>
      </c>
      <c r="N26" s="27" t="s">
        <v>136</v>
      </c>
      <c r="O26" s="28">
        <v>0</v>
      </c>
      <c r="P26" s="2"/>
      <c r="Q26" s="27" t="s">
        <v>138</v>
      </c>
      <c r="R26" s="29">
        <v>36805</v>
      </c>
    </row>
    <row r="27" spans="1:18" x14ac:dyDescent="0.25">
      <c r="A27" s="24">
        <v>44795</v>
      </c>
      <c r="B27" s="39"/>
      <c r="C27" s="25" t="s">
        <v>357</v>
      </c>
      <c r="D27" s="25" t="s">
        <v>358</v>
      </c>
      <c r="E27" s="25" t="s">
        <v>359</v>
      </c>
      <c r="F27" s="26"/>
      <c r="G27" s="26">
        <v>20</v>
      </c>
      <c r="H27" s="27">
        <v>7188189</v>
      </c>
      <c r="I27" s="25" t="s">
        <v>360</v>
      </c>
      <c r="J27" s="25" t="s">
        <v>361</v>
      </c>
      <c r="K27" s="25" t="s">
        <v>146</v>
      </c>
      <c r="L27" s="27" t="s">
        <v>137</v>
      </c>
      <c r="M27" s="27">
        <v>92407</v>
      </c>
      <c r="N27" s="27" t="s">
        <v>136</v>
      </c>
      <c r="O27" s="28">
        <v>0</v>
      </c>
      <c r="P27" s="2"/>
      <c r="Q27" s="27" t="s">
        <v>138</v>
      </c>
      <c r="R27" s="29">
        <v>35745</v>
      </c>
    </row>
    <row r="28" spans="1:18" x14ac:dyDescent="0.25">
      <c r="A28" s="37">
        <v>44799</v>
      </c>
      <c r="B28" s="39"/>
      <c r="C28" s="25" t="s">
        <v>362</v>
      </c>
      <c r="D28" s="25" t="s">
        <v>363</v>
      </c>
      <c r="E28" s="25" t="s">
        <v>364</v>
      </c>
      <c r="F28" s="26"/>
      <c r="G28" s="26">
        <v>16</v>
      </c>
      <c r="H28" s="27">
        <v>7188061</v>
      </c>
      <c r="I28" s="25" t="s">
        <v>246</v>
      </c>
      <c r="J28" s="25" t="s">
        <v>365</v>
      </c>
      <c r="K28" s="25" t="s">
        <v>146</v>
      </c>
      <c r="L28" s="27" t="s">
        <v>137</v>
      </c>
      <c r="M28" s="27">
        <v>92410</v>
      </c>
      <c r="N28" s="27" t="s">
        <v>235</v>
      </c>
      <c r="O28" s="28">
        <v>4000</v>
      </c>
      <c r="P28" s="2"/>
      <c r="Q28" s="27" t="s">
        <v>138</v>
      </c>
      <c r="R28" s="29">
        <v>36363</v>
      </c>
    </row>
    <row r="29" spans="1:18" x14ac:dyDescent="0.25">
      <c r="A29" s="24">
        <v>44797</v>
      </c>
      <c r="B29" s="25"/>
      <c r="C29" s="25" t="s">
        <v>366</v>
      </c>
      <c r="D29" s="25" t="s">
        <v>240</v>
      </c>
      <c r="E29" s="25" t="s">
        <v>367</v>
      </c>
      <c r="F29" s="26"/>
      <c r="G29" s="26">
        <v>18</v>
      </c>
      <c r="H29" s="27">
        <v>7188022</v>
      </c>
      <c r="I29" s="25" t="s">
        <v>368</v>
      </c>
      <c r="J29" s="25" t="s">
        <v>369</v>
      </c>
      <c r="K29" s="25" t="s">
        <v>370</v>
      </c>
      <c r="L29" s="27" t="s">
        <v>137</v>
      </c>
      <c r="M29" s="27">
        <v>92324</v>
      </c>
      <c r="N29" s="27" t="s">
        <v>136</v>
      </c>
      <c r="O29" s="28">
        <v>0</v>
      </c>
      <c r="P29" s="2"/>
      <c r="Q29" s="27" t="s">
        <v>138</v>
      </c>
      <c r="R29" s="29">
        <v>36204</v>
      </c>
    </row>
    <row r="30" spans="1:18" x14ac:dyDescent="0.25">
      <c r="A30" s="38">
        <v>44795</v>
      </c>
      <c r="B30" s="39"/>
      <c r="C30" s="25" t="s">
        <v>371</v>
      </c>
      <c r="D30" s="25" t="s">
        <v>372</v>
      </c>
      <c r="E30" s="25" t="s">
        <v>250</v>
      </c>
      <c r="F30" s="26"/>
      <c r="G30" s="26">
        <v>18</v>
      </c>
      <c r="H30" s="27">
        <v>7188022</v>
      </c>
      <c r="I30" s="25" t="s">
        <v>368</v>
      </c>
      <c r="J30" s="25" t="s">
        <v>373</v>
      </c>
      <c r="K30" s="25" t="s">
        <v>146</v>
      </c>
      <c r="L30" s="27" t="s">
        <v>137</v>
      </c>
      <c r="M30" s="27">
        <v>92405</v>
      </c>
      <c r="N30" s="27" t="s">
        <v>136</v>
      </c>
      <c r="O30" s="28">
        <v>0</v>
      </c>
      <c r="P30" s="2"/>
      <c r="Q30" s="27" t="s">
        <v>138</v>
      </c>
      <c r="R30" s="29">
        <v>36995</v>
      </c>
    </row>
    <row r="31" spans="1:18" x14ac:dyDescent="0.25">
      <c r="A31" s="38">
        <v>44795</v>
      </c>
      <c r="B31" s="39"/>
      <c r="C31" s="25" t="s">
        <v>374</v>
      </c>
      <c r="D31" s="25" t="s">
        <v>375</v>
      </c>
      <c r="E31" s="25" t="s">
        <v>376</v>
      </c>
      <c r="F31" s="26"/>
      <c r="G31" s="26">
        <v>18</v>
      </c>
      <c r="H31" s="27">
        <v>7188022</v>
      </c>
      <c r="I31" s="25" t="s">
        <v>377</v>
      </c>
      <c r="J31" s="25" t="s">
        <v>378</v>
      </c>
      <c r="K31" s="25" t="s">
        <v>379</v>
      </c>
      <c r="L31" s="27" t="s">
        <v>137</v>
      </c>
      <c r="M31" s="27">
        <v>92377</v>
      </c>
      <c r="N31" s="27" t="s">
        <v>136</v>
      </c>
      <c r="O31" s="28">
        <v>0</v>
      </c>
      <c r="P31" s="2"/>
      <c r="Q31" s="27" t="s">
        <v>138</v>
      </c>
      <c r="R31" s="29">
        <v>30770</v>
      </c>
    </row>
    <row r="32" spans="1:18" x14ac:dyDescent="0.25">
      <c r="A32" s="37">
        <v>44796</v>
      </c>
      <c r="B32" s="39"/>
      <c r="C32" s="25" t="s">
        <v>380</v>
      </c>
      <c r="D32" s="25" t="s">
        <v>381</v>
      </c>
      <c r="E32" s="25" t="s">
        <v>382</v>
      </c>
      <c r="F32" s="26"/>
      <c r="G32" s="26">
        <v>16</v>
      </c>
      <c r="H32" s="27">
        <v>7188061</v>
      </c>
      <c r="I32" s="25" t="s">
        <v>246</v>
      </c>
      <c r="J32" s="25" t="s">
        <v>383</v>
      </c>
      <c r="K32" s="25" t="s">
        <v>146</v>
      </c>
      <c r="L32" s="27" t="s">
        <v>137</v>
      </c>
      <c r="M32" s="27">
        <v>92411</v>
      </c>
      <c r="N32" s="27" t="s">
        <v>136</v>
      </c>
      <c r="O32" s="28">
        <v>0</v>
      </c>
      <c r="P32" s="2"/>
      <c r="Q32" s="27" t="s">
        <v>138</v>
      </c>
      <c r="R32" s="29">
        <v>37273</v>
      </c>
    </row>
    <row r="33" spans="1:18" x14ac:dyDescent="0.25">
      <c r="A33" s="24">
        <v>44795</v>
      </c>
      <c r="B33" s="25"/>
      <c r="C33" s="25" t="s">
        <v>384</v>
      </c>
      <c r="D33" s="25" t="s">
        <v>247</v>
      </c>
      <c r="E33" s="25" t="s">
        <v>385</v>
      </c>
      <c r="F33" s="26"/>
      <c r="G33" s="26">
        <v>19</v>
      </c>
      <c r="H33" s="27">
        <v>7188187</v>
      </c>
      <c r="I33" s="25" t="s">
        <v>386</v>
      </c>
      <c r="J33" s="25" t="s">
        <v>387</v>
      </c>
      <c r="K33" s="25" t="s">
        <v>148</v>
      </c>
      <c r="L33" s="27" t="s">
        <v>137</v>
      </c>
      <c r="M33" s="27">
        <v>92504</v>
      </c>
      <c r="N33" s="27" t="s">
        <v>138</v>
      </c>
      <c r="O33" s="28">
        <v>0</v>
      </c>
      <c r="P33" s="2"/>
      <c r="Q33" s="27" t="s">
        <v>147</v>
      </c>
      <c r="R33" s="29">
        <v>27510</v>
      </c>
    </row>
    <row r="34" spans="1:18" x14ac:dyDescent="0.25">
      <c r="A34" s="37">
        <v>44795</v>
      </c>
      <c r="B34" s="39"/>
      <c r="C34" s="39" t="s">
        <v>388</v>
      </c>
      <c r="D34" s="25" t="s">
        <v>389</v>
      </c>
      <c r="E34" s="25" t="s">
        <v>390</v>
      </c>
      <c r="F34" s="26"/>
      <c r="G34" s="26">
        <v>17</v>
      </c>
      <c r="H34" s="27">
        <v>7188098</v>
      </c>
      <c r="I34" s="25" t="s">
        <v>391</v>
      </c>
      <c r="J34" s="25" t="s">
        <v>392</v>
      </c>
      <c r="K34" s="25" t="s">
        <v>393</v>
      </c>
      <c r="L34" s="27" t="s">
        <v>394</v>
      </c>
      <c r="M34" s="27">
        <v>92336</v>
      </c>
      <c r="N34" s="27" t="s">
        <v>138</v>
      </c>
      <c r="O34" s="28">
        <v>4000</v>
      </c>
      <c r="P34" s="2"/>
      <c r="Q34" s="27" t="s">
        <v>138</v>
      </c>
      <c r="R34" s="29">
        <v>34587</v>
      </c>
    </row>
    <row r="35" spans="1:18" x14ac:dyDescent="0.25">
      <c r="A35" s="37">
        <v>44799</v>
      </c>
      <c r="B35" s="39"/>
      <c r="C35" s="25" t="s">
        <v>395</v>
      </c>
      <c r="D35" s="25" t="s">
        <v>396</v>
      </c>
      <c r="E35" s="25" t="s">
        <v>397</v>
      </c>
      <c r="F35" s="26"/>
      <c r="G35" s="26">
        <v>17</v>
      </c>
      <c r="H35" s="27">
        <v>7188131</v>
      </c>
      <c r="I35" s="25" t="s">
        <v>398</v>
      </c>
      <c r="J35" s="25" t="s">
        <v>399</v>
      </c>
      <c r="K35" s="25" t="s">
        <v>393</v>
      </c>
      <c r="L35" s="27" t="s">
        <v>137</v>
      </c>
      <c r="M35" s="27">
        <v>92335</v>
      </c>
      <c r="N35" s="27" t="s">
        <v>136</v>
      </c>
      <c r="O35" s="28">
        <v>0</v>
      </c>
      <c r="P35" s="2"/>
      <c r="Q35" s="27" t="s">
        <v>147</v>
      </c>
      <c r="R35" s="29">
        <v>34877</v>
      </c>
    </row>
    <row r="36" spans="1:18" x14ac:dyDescent="0.25">
      <c r="A36" s="37">
        <v>44796</v>
      </c>
      <c r="B36" s="39"/>
      <c r="C36" s="25" t="s">
        <v>400</v>
      </c>
      <c r="D36" s="25" t="s">
        <v>401</v>
      </c>
      <c r="E36" s="25" t="s">
        <v>402</v>
      </c>
      <c r="F36" s="26"/>
      <c r="G36" s="26">
        <v>16</v>
      </c>
      <c r="H36" s="27">
        <v>7188061</v>
      </c>
      <c r="I36" s="25" t="s">
        <v>246</v>
      </c>
      <c r="J36" s="25" t="s">
        <v>403</v>
      </c>
      <c r="K36" s="25" t="s">
        <v>379</v>
      </c>
      <c r="L36" s="27" t="s">
        <v>137</v>
      </c>
      <c r="M36" s="27">
        <v>92376</v>
      </c>
      <c r="N36" s="27" t="s">
        <v>136</v>
      </c>
      <c r="O36" s="28" t="s">
        <v>252</v>
      </c>
      <c r="P36" s="2"/>
      <c r="Q36" s="27" t="s">
        <v>147</v>
      </c>
      <c r="R36" s="29">
        <v>34562</v>
      </c>
    </row>
    <row r="37" spans="1:18" x14ac:dyDescent="0.25">
      <c r="A37" s="24">
        <v>44796</v>
      </c>
      <c r="B37" s="25"/>
      <c r="C37" s="25" t="s">
        <v>404</v>
      </c>
      <c r="D37" s="25" t="s">
        <v>269</v>
      </c>
      <c r="E37" s="25" t="s">
        <v>405</v>
      </c>
      <c r="F37" s="26"/>
      <c r="G37" s="26">
        <v>15</v>
      </c>
      <c r="H37" s="27">
        <v>7188140</v>
      </c>
      <c r="I37" s="25" t="s">
        <v>261</v>
      </c>
      <c r="J37" s="25" t="s">
        <v>272</v>
      </c>
      <c r="K37" s="25" t="s">
        <v>237</v>
      </c>
      <c r="L37" s="27" t="s">
        <v>137</v>
      </c>
      <c r="M37" s="27">
        <v>92394</v>
      </c>
      <c r="N37" s="27" t="s">
        <v>136</v>
      </c>
      <c r="O37" s="28">
        <v>2000</v>
      </c>
      <c r="P37" s="2"/>
      <c r="Q37" s="27" t="s">
        <v>147</v>
      </c>
      <c r="R37" s="29">
        <v>35209</v>
      </c>
    </row>
    <row r="38" spans="1:18" x14ac:dyDescent="0.25">
      <c r="A38" s="24">
        <v>44797</v>
      </c>
      <c r="B38" s="25"/>
      <c r="C38" s="25" t="s">
        <v>406</v>
      </c>
      <c r="D38" s="25" t="s">
        <v>407</v>
      </c>
      <c r="E38" s="25" t="s">
        <v>408</v>
      </c>
      <c r="F38" s="26"/>
      <c r="G38" s="26">
        <v>18</v>
      </c>
      <c r="H38" s="27">
        <v>7188022</v>
      </c>
      <c r="I38" s="25" t="s">
        <v>409</v>
      </c>
      <c r="J38" s="25" t="s">
        <v>410</v>
      </c>
      <c r="K38" s="25" t="s">
        <v>379</v>
      </c>
      <c r="L38" s="27" t="s">
        <v>137</v>
      </c>
      <c r="M38" s="27">
        <v>92377</v>
      </c>
      <c r="N38" s="27" t="s">
        <v>235</v>
      </c>
      <c r="O38" s="28">
        <v>5000</v>
      </c>
      <c r="P38" s="2"/>
      <c r="Q38" s="27" t="s">
        <v>138</v>
      </c>
      <c r="R38" s="29">
        <v>30015</v>
      </c>
    </row>
    <row r="39" spans="1:18" x14ac:dyDescent="0.25">
      <c r="A39" s="37">
        <v>44798</v>
      </c>
      <c r="B39" s="39"/>
      <c r="C39" s="25" t="s">
        <v>411</v>
      </c>
      <c r="D39" s="25" t="s">
        <v>412</v>
      </c>
      <c r="E39" s="25" t="s">
        <v>413</v>
      </c>
      <c r="F39" s="26"/>
      <c r="G39" s="26">
        <v>17</v>
      </c>
      <c r="H39" s="27">
        <v>7188131</v>
      </c>
      <c r="I39" s="25" t="s">
        <v>398</v>
      </c>
      <c r="J39" s="25" t="s">
        <v>414</v>
      </c>
      <c r="K39" s="25" t="s">
        <v>393</v>
      </c>
      <c r="L39" s="27" t="s">
        <v>137</v>
      </c>
      <c r="M39" s="27">
        <v>92336</v>
      </c>
      <c r="N39" s="27" t="s">
        <v>136</v>
      </c>
      <c r="O39" s="28">
        <v>0</v>
      </c>
      <c r="P39" s="2"/>
      <c r="Q39" s="27" t="s">
        <v>147</v>
      </c>
      <c r="R39" s="29">
        <v>26456</v>
      </c>
    </row>
    <row r="40" spans="1:18" x14ac:dyDescent="0.25">
      <c r="A40" s="37">
        <v>44797</v>
      </c>
      <c r="B40" s="39"/>
      <c r="C40" s="25" t="s">
        <v>415</v>
      </c>
      <c r="D40" s="25" t="s">
        <v>416</v>
      </c>
      <c r="E40" s="25" t="s">
        <v>239</v>
      </c>
      <c r="F40" s="26"/>
      <c r="G40" s="26">
        <v>20</v>
      </c>
      <c r="H40" s="27">
        <v>7188131</v>
      </c>
      <c r="I40" s="25" t="s">
        <v>398</v>
      </c>
      <c r="J40" s="25" t="s">
        <v>417</v>
      </c>
      <c r="K40" s="25" t="s">
        <v>370</v>
      </c>
      <c r="L40" s="27" t="s">
        <v>137</v>
      </c>
      <c r="M40" s="27">
        <v>92324</v>
      </c>
      <c r="N40" s="27" t="s">
        <v>136</v>
      </c>
      <c r="O40" s="28">
        <v>2000</v>
      </c>
      <c r="P40" s="2"/>
      <c r="Q40" s="27" t="s">
        <v>138</v>
      </c>
      <c r="R40" s="29">
        <v>35648</v>
      </c>
    </row>
    <row r="41" spans="1:18" x14ac:dyDescent="0.25">
      <c r="A41" s="24">
        <v>44797</v>
      </c>
      <c r="B41" s="25"/>
      <c r="C41" s="25" t="s">
        <v>418</v>
      </c>
      <c r="D41" s="25" t="s">
        <v>419</v>
      </c>
      <c r="E41" s="25" t="s">
        <v>420</v>
      </c>
      <c r="F41" s="26"/>
      <c r="G41" s="26">
        <v>17</v>
      </c>
      <c r="H41" s="27">
        <v>7188035</v>
      </c>
      <c r="I41" s="25" t="s">
        <v>421</v>
      </c>
      <c r="J41" s="25" t="s">
        <v>422</v>
      </c>
      <c r="K41" s="25" t="s">
        <v>243</v>
      </c>
      <c r="L41" s="27" t="s">
        <v>137</v>
      </c>
      <c r="M41" s="27">
        <v>92346</v>
      </c>
      <c r="N41" s="27" t="s">
        <v>136</v>
      </c>
      <c r="O41" s="28">
        <v>2500</v>
      </c>
      <c r="P41" s="2"/>
      <c r="Q41" s="27" t="s">
        <v>138</v>
      </c>
      <c r="R41" s="29">
        <v>36394</v>
      </c>
    </row>
    <row r="42" spans="1:18" x14ac:dyDescent="0.25">
      <c r="A42" s="37">
        <v>44798</v>
      </c>
      <c r="B42" s="39"/>
      <c r="C42" s="25" t="s">
        <v>423</v>
      </c>
      <c r="D42" s="25" t="s">
        <v>424</v>
      </c>
      <c r="E42" s="25" t="s">
        <v>425</v>
      </c>
      <c r="F42" s="26"/>
      <c r="G42" s="26">
        <v>18.5</v>
      </c>
      <c r="H42" s="27">
        <v>7188133</v>
      </c>
      <c r="I42" s="25" t="s">
        <v>426</v>
      </c>
      <c r="J42" s="25" t="s">
        <v>427</v>
      </c>
      <c r="K42" s="25" t="s">
        <v>146</v>
      </c>
      <c r="L42" s="27" t="s">
        <v>137</v>
      </c>
      <c r="M42" s="27">
        <v>92404</v>
      </c>
      <c r="N42" s="27" t="s">
        <v>136</v>
      </c>
      <c r="O42" s="28">
        <v>0</v>
      </c>
      <c r="P42" s="2"/>
      <c r="Q42" s="27" t="s">
        <v>138</v>
      </c>
      <c r="R42" s="29">
        <v>34844</v>
      </c>
    </row>
    <row r="43" spans="1:18" x14ac:dyDescent="0.25">
      <c r="A43" s="24">
        <v>44796</v>
      </c>
      <c r="B43" s="25"/>
      <c r="C43" s="25" t="s">
        <v>428</v>
      </c>
      <c r="D43" s="25" t="s">
        <v>429</v>
      </c>
      <c r="E43" s="25" t="s">
        <v>430</v>
      </c>
      <c r="F43" s="26"/>
      <c r="G43" s="26">
        <v>15</v>
      </c>
      <c r="H43" s="27">
        <v>7188031</v>
      </c>
      <c r="I43" s="25" t="s">
        <v>431</v>
      </c>
      <c r="J43" s="25" t="s">
        <v>432</v>
      </c>
      <c r="K43" s="25" t="s">
        <v>148</v>
      </c>
      <c r="L43" s="27" t="s">
        <v>137</v>
      </c>
      <c r="M43" s="27">
        <v>92505</v>
      </c>
      <c r="N43" s="27" t="s">
        <v>136</v>
      </c>
      <c r="O43" s="28">
        <v>2800</v>
      </c>
      <c r="P43" s="2"/>
      <c r="Q43" s="27" t="s">
        <v>147</v>
      </c>
      <c r="R43" s="29">
        <v>33225</v>
      </c>
    </row>
    <row r="44" spans="1:18" x14ac:dyDescent="0.25">
      <c r="A44" s="24">
        <v>44796</v>
      </c>
      <c r="B44" s="39"/>
      <c r="C44" s="25" t="s">
        <v>433</v>
      </c>
      <c r="D44" s="25" t="s">
        <v>434</v>
      </c>
      <c r="E44" s="25" t="s">
        <v>435</v>
      </c>
      <c r="F44" s="26"/>
      <c r="G44" s="26">
        <v>15</v>
      </c>
      <c r="H44" s="27">
        <v>7188031</v>
      </c>
      <c r="I44" s="25" t="s">
        <v>431</v>
      </c>
      <c r="J44" s="25" t="s">
        <v>436</v>
      </c>
      <c r="K44" s="25" t="s">
        <v>149</v>
      </c>
      <c r="L44" s="27" t="s">
        <v>137</v>
      </c>
      <c r="M44" s="27">
        <v>92551</v>
      </c>
      <c r="N44" s="27" t="s">
        <v>136</v>
      </c>
      <c r="O44" s="28">
        <v>10000</v>
      </c>
      <c r="P44" s="2"/>
      <c r="Q44" s="27" t="s">
        <v>147</v>
      </c>
      <c r="R44" s="29">
        <v>28612</v>
      </c>
    </row>
    <row r="45" spans="1:18" x14ac:dyDescent="0.25">
      <c r="A45" s="37">
        <v>44796</v>
      </c>
      <c r="B45" s="39"/>
      <c r="C45" s="25" t="s">
        <v>437</v>
      </c>
      <c r="D45" s="25" t="s">
        <v>438</v>
      </c>
      <c r="E45" s="25" t="s">
        <v>439</v>
      </c>
      <c r="F45" s="26"/>
      <c r="G45" s="26">
        <v>15</v>
      </c>
      <c r="H45" s="27">
        <v>7188031</v>
      </c>
      <c r="I45" s="25" t="s">
        <v>431</v>
      </c>
      <c r="J45" s="25" t="s">
        <v>440</v>
      </c>
      <c r="K45" s="25" t="s">
        <v>148</v>
      </c>
      <c r="L45" s="27" t="s">
        <v>137</v>
      </c>
      <c r="M45" s="27">
        <v>92504</v>
      </c>
      <c r="N45" s="27" t="s">
        <v>136</v>
      </c>
      <c r="O45" s="28">
        <v>6000</v>
      </c>
      <c r="P45" s="2"/>
      <c r="Q45" s="27" t="s">
        <v>147</v>
      </c>
      <c r="R45" s="29">
        <v>29428</v>
      </c>
    </row>
    <row r="46" spans="1:18" x14ac:dyDescent="0.25">
      <c r="A46" s="24">
        <v>44799</v>
      </c>
      <c r="B46" s="25"/>
      <c r="C46" s="25" t="s">
        <v>441</v>
      </c>
      <c r="D46" s="25" t="s">
        <v>442</v>
      </c>
      <c r="E46" s="25" t="s">
        <v>443</v>
      </c>
      <c r="F46" s="26"/>
      <c r="G46" s="26">
        <v>17</v>
      </c>
      <c r="H46" s="27">
        <v>7188131</v>
      </c>
      <c r="I46" s="25" t="s">
        <v>444</v>
      </c>
      <c r="J46" s="25" t="s">
        <v>445</v>
      </c>
      <c r="K46" s="25" t="s">
        <v>148</v>
      </c>
      <c r="L46" s="27" t="s">
        <v>137</v>
      </c>
      <c r="M46" s="27">
        <v>92503</v>
      </c>
      <c r="N46" s="27" t="s">
        <v>235</v>
      </c>
      <c r="O46" s="28">
        <v>0</v>
      </c>
      <c r="P46" s="2"/>
      <c r="Q46" s="27" t="s">
        <v>147</v>
      </c>
      <c r="R46" s="29">
        <v>25266</v>
      </c>
    </row>
    <row r="47" spans="1:18" x14ac:dyDescent="0.25">
      <c r="A47" s="37">
        <v>43593</v>
      </c>
      <c r="B47" s="19"/>
      <c r="C47" s="19" t="s">
        <v>446</v>
      </c>
      <c r="D47" s="19" t="s">
        <v>447</v>
      </c>
      <c r="E47" s="19" t="s">
        <v>448</v>
      </c>
      <c r="F47" s="20"/>
      <c r="G47" s="20">
        <v>20</v>
      </c>
      <c r="H47" s="21">
        <v>7188131</v>
      </c>
      <c r="I47" s="19" t="s">
        <v>444</v>
      </c>
      <c r="J47" s="19" t="s">
        <v>449</v>
      </c>
      <c r="K47" s="19" t="s">
        <v>148</v>
      </c>
      <c r="L47" s="21" t="s">
        <v>137</v>
      </c>
      <c r="M47" s="21">
        <v>92507</v>
      </c>
      <c r="N47" s="30" t="s">
        <v>136</v>
      </c>
      <c r="O47" s="31">
        <v>0</v>
      </c>
      <c r="P47" s="3"/>
      <c r="Q47" s="21" t="s">
        <v>147</v>
      </c>
      <c r="R47" s="23">
        <v>34525</v>
      </c>
    </row>
    <row r="48" spans="1:18" x14ac:dyDescent="0.25">
      <c r="A48" s="37">
        <v>44799</v>
      </c>
      <c r="B48" s="39"/>
      <c r="C48" s="25" t="s">
        <v>450</v>
      </c>
      <c r="D48" s="25" t="s">
        <v>451</v>
      </c>
      <c r="E48" s="25" t="s">
        <v>244</v>
      </c>
      <c r="F48" s="26"/>
      <c r="G48" s="26">
        <v>19</v>
      </c>
      <c r="H48" s="27">
        <v>7188167</v>
      </c>
      <c r="I48" s="25" t="s">
        <v>452</v>
      </c>
      <c r="J48" s="25" t="s">
        <v>453</v>
      </c>
      <c r="K48" s="25" t="s">
        <v>150</v>
      </c>
      <c r="L48" s="27" t="s">
        <v>137</v>
      </c>
      <c r="M48" s="27">
        <v>92570</v>
      </c>
      <c r="N48" s="27" t="s">
        <v>235</v>
      </c>
      <c r="O48" s="28">
        <v>4500</v>
      </c>
      <c r="P48" s="2"/>
      <c r="Q48" s="27" t="s">
        <v>138</v>
      </c>
      <c r="R48" s="29">
        <v>28119</v>
      </c>
    </row>
    <row r="49" spans="1:18" x14ac:dyDescent="0.25">
      <c r="A49" s="24">
        <v>44798</v>
      </c>
      <c r="B49" s="25"/>
      <c r="C49" s="25" t="s">
        <v>454</v>
      </c>
      <c r="D49" s="25" t="s">
        <v>238</v>
      </c>
      <c r="E49" s="25" t="s">
        <v>455</v>
      </c>
      <c r="F49" s="26"/>
      <c r="G49" s="26">
        <v>20</v>
      </c>
      <c r="H49" s="27">
        <v>7188027</v>
      </c>
      <c r="I49" s="25" t="s">
        <v>456</v>
      </c>
      <c r="J49" s="25" t="s">
        <v>457</v>
      </c>
      <c r="K49" s="25" t="s">
        <v>148</v>
      </c>
      <c r="L49" s="27" t="s">
        <v>137</v>
      </c>
      <c r="M49" s="27">
        <v>92503</v>
      </c>
      <c r="N49" s="27" t="s">
        <v>136</v>
      </c>
      <c r="O49" s="28">
        <v>2000</v>
      </c>
      <c r="P49" s="2"/>
      <c r="Q49" s="27" t="s">
        <v>147</v>
      </c>
      <c r="R49" s="29">
        <v>35024</v>
      </c>
    </row>
    <row r="50" spans="1:18" x14ac:dyDescent="0.25">
      <c r="A50" s="24">
        <v>44795</v>
      </c>
      <c r="B50" s="25"/>
      <c r="C50" s="25" t="s">
        <v>458</v>
      </c>
      <c r="D50" s="25" t="s">
        <v>459</v>
      </c>
      <c r="E50" s="25" t="s">
        <v>460</v>
      </c>
      <c r="F50" s="26"/>
      <c r="G50" s="26">
        <v>16</v>
      </c>
      <c r="H50" s="27">
        <v>7188150</v>
      </c>
      <c r="I50" s="25" t="s">
        <v>461</v>
      </c>
      <c r="J50" s="25" t="s">
        <v>462</v>
      </c>
      <c r="K50" s="25" t="s">
        <v>248</v>
      </c>
      <c r="L50" s="27" t="s">
        <v>137</v>
      </c>
      <c r="M50" s="27">
        <v>92882</v>
      </c>
      <c r="N50" s="27" t="s">
        <v>136</v>
      </c>
      <c r="O50" s="28">
        <v>0</v>
      </c>
      <c r="P50" s="2"/>
      <c r="Q50" s="27" t="s">
        <v>138</v>
      </c>
      <c r="R50" s="29">
        <v>36939</v>
      </c>
    </row>
    <row r="51" spans="1:18" x14ac:dyDescent="0.25">
      <c r="A51" s="37">
        <v>44795</v>
      </c>
      <c r="B51" s="39"/>
      <c r="C51" s="25" t="s">
        <v>463</v>
      </c>
      <c r="D51" s="25" t="s">
        <v>464</v>
      </c>
      <c r="E51" s="25" t="s">
        <v>465</v>
      </c>
      <c r="F51" s="26"/>
      <c r="G51" s="26">
        <v>17</v>
      </c>
      <c r="H51" s="27">
        <v>7188035</v>
      </c>
      <c r="I51" s="25" t="s">
        <v>466</v>
      </c>
      <c r="J51" s="25" t="s">
        <v>467</v>
      </c>
      <c r="K51" s="25" t="s">
        <v>248</v>
      </c>
      <c r="L51" s="27" t="s">
        <v>137</v>
      </c>
      <c r="M51" s="27">
        <v>92882</v>
      </c>
      <c r="N51" s="27" t="s">
        <v>136</v>
      </c>
      <c r="O51" s="28">
        <v>0</v>
      </c>
      <c r="P51" s="2"/>
      <c r="Q51" s="27" t="s">
        <v>138</v>
      </c>
      <c r="R51" s="29">
        <v>37092</v>
      </c>
    </row>
    <row r="52" spans="1:18" x14ac:dyDescent="0.25">
      <c r="A52" s="24">
        <v>44795</v>
      </c>
      <c r="B52" s="25"/>
      <c r="C52" s="25" t="s">
        <v>468</v>
      </c>
      <c r="D52" s="25" t="s">
        <v>469</v>
      </c>
      <c r="E52" s="25" t="s">
        <v>470</v>
      </c>
      <c r="F52" s="26"/>
      <c r="G52" s="26">
        <v>18</v>
      </c>
      <c r="H52" s="27">
        <v>7188187</v>
      </c>
      <c r="I52" s="25" t="s">
        <v>471</v>
      </c>
      <c r="J52" s="25" t="s">
        <v>472</v>
      </c>
      <c r="K52" s="25" t="s">
        <v>148</v>
      </c>
      <c r="L52" s="27" t="s">
        <v>137</v>
      </c>
      <c r="M52" s="27">
        <v>92503</v>
      </c>
      <c r="N52" s="27" t="s">
        <v>136</v>
      </c>
      <c r="O52" s="28">
        <v>2000</v>
      </c>
      <c r="P52" s="2"/>
      <c r="Q52" s="27" t="s">
        <v>138</v>
      </c>
      <c r="R52" s="29">
        <v>32278</v>
      </c>
    </row>
    <row r="53" spans="1:18" x14ac:dyDescent="0.25">
      <c r="A53" s="24">
        <v>44798</v>
      </c>
      <c r="B53" s="25"/>
      <c r="C53" s="25" t="s">
        <v>473</v>
      </c>
      <c r="D53" s="25" t="s">
        <v>474</v>
      </c>
      <c r="E53" s="25" t="s">
        <v>475</v>
      </c>
      <c r="F53" s="26"/>
      <c r="G53" s="26">
        <v>18</v>
      </c>
      <c r="H53" s="27">
        <v>7188083</v>
      </c>
      <c r="I53" s="25" t="s">
        <v>476</v>
      </c>
      <c r="J53" s="25" t="s">
        <v>477</v>
      </c>
      <c r="K53" s="25" t="s">
        <v>150</v>
      </c>
      <c r="L53" s="27" t="s">
        <v>137</v>
      </c>
      <c r="M53" s="27">
        <v>92571</v>
      </c>
      <c r="N53" s="27" t="s">
        <v>136</v>
      </c>
      <c r="O53" s="28">
        <v>0</v>
      </c>
      <c r="P53" s="2"/>
      <c r="Q53" s="27" t="s">
        <v>138</v>
      </c>
      <c r="R53" s="29">
        <v>36618</v>
      </c>
    </row>
    <row r="54" spans="1:18" x14ac:dyDescent="0.25">
      <c r="A54" s="24">
        <v>44795</v>
      </c>
      <c r="B54" s="25"/>
      <c r="C54" s="25" t="s">
        <v>478</v>
      </c>
      <c r="D54" s="25" t="s">
        <v>479</v>
      </c>
      <c r="E54" s="25" t="s">
        <v>480</v>
      </c>
      <c r="F54" s="26"/>
      <c r="G54" s="26">
        <v>16</v>
      </c>
      <c r="H54" s="27">
        <v>7188083</v>
      </c>
      <c r="I54" s="25" t="s">
        <v>476</v>
      </c>
      <c r="J54" s="25" t="s">
        <v>481</v>
      </c>
      <c r="K54" s="25" t="s">
        <v>149</v>
      </c>
      <c r="L54" s="27" t="s">
        <v>137</v>
      </c>
      <c r="M54" s="27">
        <v>92553</v>
      </c>
      <c r="N54" s="27" t="s">
        <v>136</v>
      </c>
      <c r="O54" s="28">
        <v>0</v>
      </c>
      <c r="P54" s="2"/>
      <c r="Q54" s="27" t="s">
        <v>138</v>
      </c>
      <c r="R54" s="29">
        <v>37007</v>
      </c>
    </row>
    <row r="55" spans="1:18" x14ac:dyDescent="0.25">
      <c r="A55" s="24">
        <v>44799</v>
      </c>
      <c r="B55" s="25"/>
      <c r="C55" s="25" t="s">
        <v>482</v>
      </c>
      <c r="D55" s="25" t="s">
        <v>247</v>
      </c>
      <c r="E55" s="25" t="s">
        <v>245</v>
      </c>
      <c r="F55" s="26"/>
      <c r="G55" s="26">
        <v>18</v>
      </c>
      <c r="H55" s="27">
        <v>7188083</v>
      </c>
      <c r="I55" s="25" t="s">
        <v>476</v>
      </c>
      <c r="J55" s="25" t="s">
        <v>483</v>
      </c>
      <c r="K55" s="25" t="s">
        <v>149</v>
      </c>
      <c r="L55" s="27" t="s">
        <v>137</v>
      </c>
      <c r="M55" s="27">
        <v>92553</v>
      </c>
      <c r="N55" s="27" t="s">
        <v>136</v>
      </c>
      <c r="O55" s="28">
        <v>0</v>
      </c>
      <c r="P55" s="2"/>
      <c r="Q55" s="27" t="s">
        <v>138</v>
      </c>
      <c r="R55" s="29">
        <v>37511</v>
      </c>
    </row>
    <row r="56" spans="1:18" x14ac:dyDescent="0.25">
      <c r="A56" s="24">
        <v>44795</v>
      </c>
      <c r="B56" s="25"/>
      <c r="C56" s="25" t="s">
        <v>484</v>
      </c>
      <c r="D56" s="25" t="s">
        <v>485</v>
      </c>
      <c r="E56" s="25" t="s">
        <v>486</v>
      </c>
      <c r="F56" s="26"/>
      <c r="G56" s="26">
        <v>18</v>
      </c>
      <c r="H56" s="27">
        <v>7188083</v>
      </c>
      <c r="I56" s="25" t="s">
        <v>476</v>
      </c>
      <c r="J56" s="25" t="s">
        <v>487</v>
      </c>
      <c r="K56" s="25" t="s">
        <v>488</v>
      </c>
      <c r="L56" s="27" t="s">
        <v>137</v>
      </c>
      <c r="M56" s="27">
        <v>92223</v>
      </c>
      <c r="N56" s="27" t="s">
        <v>138</v>
      </c>
      <c r="O56" s="28">
        <v>0</v>
      </c>
      <c r="P56" s="2"/>
      <c r="Q56" s="27" t="s">
        <v>138</v>
      </c>
      <c r="R56" s="29">
        <v>35723</v>
      </c>
    </row>
    <row r="57" spans="1:18" x14ac:dyDescent="0.25">
      <c r="A57" s="36">
        <v>44795</v>
      </c>
      <c r="B57" s="39"/>
      <c r="C57" s="25" t="s">
        <v>489</v>
      </c>
      <c r="D57" s="25" t="s">
        <v>238</v>
      </c>
      <c r="E57" s="25" t="s">
        <v>490</v>
      </c>
      <c r="F57" s="26"/>
      <c r="G57" s="26">
        <v>18</v>
      </c>
      <c r="H57" s="27">
        <v>7188083</v>
      </c>
      <c r="I57" s="25" t="s">
        <v>476</v>
      </c>
      <c r="J57" s="25" t="s">
        <v>491</v>
      </c>
      <c r="K57" s="25" t="s">
        <v>248</v>
      </c>
      <c r="L57" s="27" t="s">
        <v>137</v>
      </c>
      <c r="M57" s="27">
        <v>92879</v>
      </c>
      <c r="N57" s="27" t="s">
        <v>136</v>
      </c>
      <c r="O57" s="28">
        <v>0</v>
      </c>
      <c r="P57" s="2"/>
      <c r="Q57" s="27" t="s">
        <v>138</v>
      </c>
      <c r="R57" s="29">
        <v>35815</v>
      </c>
    </row>
    <row r="58" spans="1:18" x14ac:dyDescent="0.25">
      <c r="A58" s="37">
        <v>44798</v>
      </c>
      <c r="B58" s="39"/>
      <c r="C58" s="25" t="s">
        <v>492</v>
      </c>
      <c r="D58" s="25" t="s">
        <v>493</v>
      </c>
      <c r="E58" s="25" t="s">
        <v>494</v>
      </c>
      <c r="F58" s="26"/>
      <c r="G58" s="26">
        <v>18</v>
      </c>
      <c r="H58" s="27">
        <v>7188083</v>
      </c>
      <c r="I58" s="25" t="s">
        <v>476</v>
      </c>
      <c r="J58" s="25" t="s">
        <v>495</v>
      </c>
      <c r="K58" s="25" t="s">
        <v>496</v>
      </c>
      <c r="L58" s="27" t="s">
        <v>137</v>
      </c>
      <c r="M58" s="27">
        <v>92584</v>
      </c>
      <c r="N58" s="27" t="s">
        <v>136</v>
      </c>
      <c r="O58" s="28">
        <v>4500</v>
      </c>
      <c r="P58" s="2"/>
      <c r="Q58" s="27" t="s">
        <v>147</v>
      </c>
      <c r="R58" s="29">
        <v>30743</v>
      </c>
    </row>
    <row r="59" spans="1:18" x14ac:dyDescent="0.25">
      <c r="A59" s="18">
        <v>44799</v>
      </c>
      <c r="B59" s="25"/>
      <c r="C59" s="25" t="s">
        <v>497</v>
      </c>
      <c r="D59" s="25" t="s">
        <v>498</v>
      </c>
      <c r="E59" s="25" t="s">
        <v>499</v>
      </c>
      <c r="F59" s="26"/>
      <c r="G59" s="26">
        <v>16</v>
      </c>
      <c r="H59" s="27">
        <v>7188083</v>
      </c>
      <c r="I59" s="25" t="s">
        <v>500</v>
      </c>
      <c r="J59" s="25" t="s">
        <v>501</v>
      </c>
      <c r="K59" s="25" t="s">
        <v>149</v>
      </c>
      <c r="L59" s="27" t="s">
        <v>137</v>
      </c>
      <c r="M59" s="27">
        <v>92551</v>
      </c>
      <c r="N59" s="27" t="s">
        <v>136</v>
      </c>
      <c r="O59" s="28">
        <v>0</v>
      </c>
      <c r="P59" s="2"/>
      <c r="Q59" s="27" t="s">
        <v>147</v>
      </c>
      <c r="R59" s="29">
        <v>35804</v>
      </c>
    </row>
    <row r="60" spans="1:18" x14ac:dyDescent="0.25">
      <c r="A60" s="24">
        <v>44798</v>
      </c>
      <c r="B60" s="25"/>
      <c r="C60" s="25" t="s">
        <v>502</v>
      </c>
      <c r="D60" s="25" t="s">
        <v>503</v>
      </c>
      <c r="E60" s="25" t="s">
        <v>249</v>
      </c>
      <c r="F60" s="26"/>
      <c r="G60" s="26">
        <v>16</v>
      </c>
      <c r="H60" s="27">
        <v>7188083</v>
      </c>
      <c r="I60" s="25" t="s">
        <v>476</v>
      </c>
      <c r="J60" s="25" t="s">
        <v>504</v>
      </c>
      <c r="K60" s="25" t="s">
        <v>148</v>
      </c>
      <c r="L60" s="27" t="s">
        <v>137</v>
      </c>
      <c r="M60" s="27">
        <v>92509</v>
      </c>
      <c r="N60" s="27" t="s">
        <v>136</v>
      </c>
      <c r="O60" s="28">
        <v>0</v>
      </c>
      <c r="P60" s="2"/>
      <c r="Q60" s="27" t="s">
        <v>138</v>
      </c>
      <c r="R60" s="29">
        <v>36429</v>
      </c>
    </row>
    <row r="61" spans="1:18" x14ac:dyDescent="0.25">
      <c r="A61" s="24">
        <v>44799</v>
      </c>
      <c r="B61" s="25"/>
      <c r="C61" s="25" t="s">
        <v>505</v>
      </c>
      <c r="D61" s="25" t="s">
        <v>506</v>
      </c>
      <c r="E61" s="25" t="s">
        <v>507</v>
      </c>
      <c r="F61" s="26"/>
      <c r="G61" s="26">
        <v>18</v>
      </c>
      <c r="H61" s="27">
        <v>7188083</v>
      </c>
      <c r="I61" s="25" t="s">
        <v>476</v>
      </c>
      <c r="J61" s="25" t="s">
        <v>508</v>
      </c>
      <c r="K61" s="25" t="s">
        <v>149</v>
      </c>
      <c r="L61" s="27" t="s">
        <v>137</v>
      </c>
      <c r="M61" s="27">
        <v>92557</v>
      </c>
      <c r="N61" s="27" t="s">
        <v>136</v>
      </c>
      <c r="O61" s="28">
        <v>2500</v>
      </c>
      <c r="P61" s="2"/>
      <c r="Q61" s="27" t="s">
        <v>138</v>
      </c>
      <c r="R61" s="29">
        <v>36657</v>
      </c>
    </row>
    <row r="62" spans="1:18" x14ac:dyDescent="0.25">
      <c r="A62" s="24">
        <v>44799</v>
      </c>
      <c r="B62" s="25"/>
      <c r="C62" s="25" t="s">
        <v>509</v>
      </c>
      <c r="D62" s="25" t="s">
        <v>510</v>
      </c>
      <c r="E62" s="25" t="s">
        <v>511</v>
      </c>
      <c r="F62" s="26"/>
      <c r="G62" s="26">
        <v>15.26</v>
      </c>
      <c r="H62" s="27">
        <v>7188140</v>
      </c>
      <c r="I62" s="25" t="s">
        <v>261</v>
      </c>
      <c r="J62" s="25" t="s">
        <v>512</v>
      </c>
      <c r="K62" s="25" t="s">
        <v>241</v>
      </c>
      <c r="L62" s="27" t="s">
        <v>137</v>
      </c>
      <c r="M62" s="27">
        <v>92308</v>
      </c>
      <c r="N62" s="27" t="s">
        <v>136</v>
      </c>
      <c r="O62" s="28">
        <v>0</v>
      </c>
      <c r="P62" s="2"/>
      <c r="Q62" s="27" t="s">
        <v>138</v>
      </c>
      <c r="R62" s="29">
        <v>36252</v>
      </c>
    </row>
    <row r="63" spans="1:18" x14ac:dyDescent="0.25">
      <c r="A63" s="24">
        <v>44797</v>
      </c>
      <c r="B63" s="25"/>
      <c r="C63" s="25" t="s">
        <v>513</v>
      </c>
      <c r="D63" s="25" t="s">
        <v>514</v>
      </c>
      <c r="E63" s="25" t="s">
        <v>515</v>
      </c>
      <c r="F63" s="26"/>
      <c r="G63" s="26">
        <v>20</v>
      </c>
      <c r="H63" s="27">
        <v>7188131</v>
      </c>
      <c r="I63" s="25" t="s">
        <v>398</v>
      </c>
      <c r="J63" s="25" t="s">
        <v>516</v>
      </c>
      <c r="K63" s="25" t="s">
        <v>370</v>
      </c>
      <c r="L63" s="27" t="s">
        <v>137</v>
      </c>
      <c r="M63" s="27">
        <v>92324</v>
      </c>
      <c r="N63" s="27" t="s">
        <v>136</v>
      </c>
      <c r="O63" s="28">
        <v>0</v>
      </c>
      <c r="P63" s="2"/>
      <c r="Q63" s="27" t="s">
        <v>147</v>
      </c>
      <c r="R63" s="29">
        <v>33460</v>
      </c>
    </row>
    <row r="66" spans="1:2" x14ac:dyDescent="0.25">
      <c r="A66" t="s">
        <v>518</v>
      </c>
    </row>
    <row r="67" spans="1:2" x14ac:dyDescent="0.25">
      <c r="A67" t="s">
        <v>519</v>
      </c>
    </row>
    <row r="68" spans="1:2" x14ac:dyDescent="0.25">
      <c r="B68" t="s">
        <v>520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1F229-94C0-4F1D-A533-EF67CAFAEEC0}">
  <sheetPr codeName="Sheet4"/>
  <dimension ref="A1:HR12"/>
  <sheetViews>
    <sheetView tabSelected="1" topLeftCell="A3" zoomScale="96" zoomScaleNormal="96" workbookViewId="0">
      <selection activeCell="W9" sqref="W9"/>
    </sheetView>
  </sheetViews>
  <sheetFormatPr defaultColWidth="8.85546875" defaultRowHeight="15" x14ac:dyDescent="0.25"/>
  <cols>
    <col min="1" max="1" width="15.42578125" bestFit="1" customWidth="1"/>
    <col min="2" max="2" width="14.85546875" bestFit="1" customWidth="1"/>
    <col min="3" max="3" width="14.7109375" hidden="1" customWidth="1"/>
    <col min="4" max="4" width="15.140625" bestFit="1" customWidth="1"/>
    <col min="5" max="5" width="16.28515625" bestFit="1" customWidth="1"/>
    <col min="6" max="7" width="17" hidden="1" customWidth="1"/>
    <col min="8" max="8" width="21.5703125" bestFit="1" customWidth="1"/>
    <col min="9" max="9" width="24" hidden="1" customWidth="1"/>
    <col min="10" max="10" width="26.140625" hidden="1" customWidth="1"/>
    <col min="11" max="11" width="13.7109375" hidden="1" customWidth="1"/>
    <col min="12" max="12" width="12" bestFit="1" customWidth="1"/>
    <col min="13" max="13" width="17" bestFit="1" customWidth="1"/>
    <col min="14" max="14" width="9" hidden="1" customWidth="1"/>
    <col min="15" max="15" width="15.140625" hidden="1" customWidth="1"/>
    <col min="16" max="16" width="18.7109375" hidden="1" customWidth="1"/>
    <col min="17" max="17" width="8.28515625" hidden="1" customWidth="1"/>
    <col min="18" max="18" width="16.85546875" hidden="1" customWidth="1"/>
    <col min="19" max="19" width="17.7109375" hidden="1" customWidth="1"/>
    <col min="20" max="20" width="10.140625" hidden="1" customWidth="1"/>
    <col min="21" max="21" width="11.140625" bestFit="1" customWidth="1"/>
    <col min="22" max="22" width="28.42578125" hidden="1" customWidth="1"/>
    <col min="23" max="23" width="25.140625" bestFit="1" customWidth="1"/>
    <col min="24" max="24" width="28.42578125" hidden="1" customWidth="1"/>
    <col min="25" max="25" width="17.28515625" bestFit="1" customWidth="1"/>
    <col min="26" max="26" width="17.5703125" bestFit="1" customWidth="1"/>
    <col min="27" max="27" width="14.42578125" bestFit="1" customWidth="1"/>
    <col min="28" max="28" width="26.28515625" bestFit="1" customWidth="1"/>
    <col min="29" max="29" width="20.140625" bestFit="1" customWidth="1"/>
    <col min="30" max="30" width="13" style="12" bestFit="1" customWidth="1"/>
    <col min="31" max="31" width="12.7109375" bestFit="1" customWidth="1"/>
    <col min="32" max="32" width="13" bestFit="1" customWidth="1"/>
    <col min="33" max="33" width="18.28515625" bestFit="1" customWidth="1"/>
    <col min="34" max="34" width="18" bestFit="1" customWidth="1"/>
    <col min="35" max="35" width="17" bestFit="1" customWidth="1"/>
    <col min="36" max="36" width="13" bestFit="1" customWidth="1"/>
    <col min="37" max="37" width="19.7109375" bestFit="1" customWidth="1"/>
    <col min="38" max="38" width="19.85546875" bestFit="1" customWidth="1"/>
    <col min="39" max="39" width="12.5703125" bestFit="1" customWidth="1"/>
    <col min="40" max="40" width="14.85546875" bestFit="1" customWidth="1"/>
    <col min="41" max="41" width="11.140625" bestFit="1" customWidth="1"/>
    <col min="42" max="42" width="14.85546875" bestFit="1" customWidth="1"/>
    <col min="43" max="43" width="0" hidden="1" customWidth="1"/>
    <col min="44" max="44" width="17" bestFit="1" customWidth="1"/>
    <col min="45" max="45" width="18" bestFit="1" customWidth="1"/>
    <col min="46" max="46" width="18.42578125" bestFit="1" customWidth="1"/>
    <col min="47" max="47" width="14.42578125" bestFit="1" customWidth="1"/>
    <col min="48" max="48" width="22.28515625" bestFit="1" customWidth="1"/>
    <col min="49" max="49" width="21.85546875" bestFit="1" customWidth="1"/>
    <col min="50" max="50" width="22" bestFit="1" customWidth="1"/>
    <col min="51" max="51" width="20.42578125" bestFit="1" customWidth="1"/>
    <col min="52" max="52" width="26.28515625" bestFit="1" customWidth="1"/>
    <col min="53" max="53" width="26.5703125" bestFit="1" customWidth="1"/>
    <col min="54" max="54" width="41.85546875" bestFit="1" customWidth="1"/>
    <col min="55" max="55" width="26.140625" bestFit="1" customWidth="1"/>
    <col min="56" max="56" width="26.28515625" bestFit="1" customWidth="1"/>
    <col min="57" max="57" width="42" bestFit="1" customWidth="1"/>
    <col min="58" max="58" width="11.28515625" bestFit="1" customWidth="1"/>
    <col min="59" max="59" width="14.7109375" bestFit="1" customWidth="1"/>
    <col min="60" max="60" width="14.85546875" bestFit="1" customWidth="1"/>
    <col min="61" max="61" width="15.5703125" bestFit="1" customWidth="1"/>
    <col min="62" max="62" width="20.140625" bestFit="1" customWidth="1"/>
    <col min="63" max="63" width="19.85546875" bestFit="1" customWidth="1"/>
    <col min="64" max="64" width="15.42578125" bestFit="1" customWidth="1"/>
    <col min="65" max="68" width="16.140625" bestFit="1" customWidth="1"/>
    <col min="69" max="69" width="13.28515625" bestFit="1" customWidth="1"/>
    <col min="70" max="70" width="36.28515625" bestFit="1" customWidth="1"/>
    <col min="71" max="71" width="34.85546875" bestFit="1" customWidth="1"/>
    <col min="72" max="74" width="0" hidden="1" customWidth="1"/>
    <col min="75" max="75" width="20.140625" bestFit="1" customWidth="1"/>
    <col min="76" max="76" width="0" hidden="1" customWidth="1"/>
    <col min="77" max="77" width="14.85546875" bestFit="1" customWidth="1"/>
    <col min="78" max="78" width="18" bestFit="1" customWidth="1"/>
    <col min="79" max="79" width="19.42578125" bestFit="1" customWidth="1"/>
    <col min="80" max="80" width="13" bestFit="1" customWidth="1"/>
    <col min="81" max="81" width="21.85546875" bestFit="1" customWidth="1"/>
    <col min="82" max="82" width="38" bestFit="1" customWidth="1"/>
    <col min="83" max="83" width="42" bestFit="1" customWidth="1"/>
    <col min="84" max="84" width="34.42578125" bestFit="1" customWidth="1"/>
    <col min="85" max="85" width="37.7109375" bestFit="1" customWidth="1"/>
    <col min="86" max="86" width="41.85546875" bestFit="1" customWidth="1"/>
    <col min="87" max="87" width="22.5703125" bestFit="1" customWidth="1"/>
    <col min="88" max="88" width="15.42578125" bestFit="1" customWidth="1"/>
    <col min="89" max="89" width="12.28515625" bestFit="1" customWidth="1"/>
    <col min="90" max="90" width="29.140625" bestFit="1" customWidth="1"/>
    <col min="91" max="91" width="24.85546875" bestFit="1" customWidth="1"/>
    <col min="92" max="92" width="29.42578125" bestFit="1" customWidth="1"/>
    <col min="93" max="93" width="26.140625" bestFit="1" customWidth="1"/>
    <col min="94" max="94" width="30.140625" bestFit="1" customWidth="1"/>
    <col min="95" max="95" width="28.42578125" bestFit="1" customWidth="1"/>
    <col min="96" max="96" width="26.85546875" bestFit="1" customWidth="1"/>
    <col min="97" max="97" width="26.140625" bestFit="1" customWidth="1"/>
    <col min="98" max="98" width="30.140625" bestFit="1" customWidth="1"/>
    <col min="99" max="99" width="28.42578125" bestFit="1" customWidth="1"/>
    <col min="100" max="100" width="26.85546875" bestFit="1" customWidth="1"/>
    <col min="101" max="101" width="17.28515625" bestFit="1" customWidth="1"/>
    <col min="102" max="102" width="17" bestFit="1" customWidth="1"/>
    <col min="103" max="103" width="15.42578125" bestFit="1" customWidth="1"/>
    <col min="104" max="104" width="18.7109375" bestFit="1" customWidth="1"/>
    <col min="105" max="105" width="21.5703125" bestFit="1" customWidth="1"/>
    <col min="106" max="106" width="22" bestFit="1" customWidth="1"/>
    <col min="107" max="108" width="19" bestFit="1" customWidth="1"/>
    <col min="109" max="109" width="18.7109375" bestFit="1" customWidth="1"/>
    <col min="110" max="117" width="19.140625" bestFit="1" customWidth="1"/>
    <col min="118" max="118" width="19.85546875" bestFit="1" customWidth="1"/>
    <col min="119" max="119" width="24.7109375" bestFit="1" customWidth="1"/>
    <col min="120" max="120" width="23.28515625" bestFit="1" customWidth="1"/>
    <col min="121" max="121" width="21.85546875" bestFit="1" customWidth="1"/>
    <col min="122" max="122" width="22" bestFit="1" customWidth="1"/>
    <col min="123" max="123" width="10.140625" bestFit="1" customWidth="1"/>
    <col min="124" max="124" width="12.5703125" bestFit="1" customWidth="1"/>
    <col min="125" max="125" width="15.5703125" bestFit="1" customWidth="1"/>
    <col min="126" max="126" width="21.85546875" bestFit="1" customWidth="1"/>
    <col min="127" max="127" width="26.85546875" bestFit="1" customWidth="1"/>
    <col min="128" max="128" width="19" bestFit="1" customWidth="1"/>
    <col min="129" max="129" width="23.28515625" bestFit="1" customWidth="1"/>
    <col min="130" max="130" width="28.28515625" bestFit="1" customWidth="1"/>
    <col min="131" max="131" width="27.5703125" bestFit="1" customWidth="1"/>
    <col min="132" max="132" width="22.5703125" bestFit="1" customWidth="1"/>
    <col min="133" max="136" width="23" bestFit="1" customWidth="1"/>
    <col min="137" max="137" width="20.140625" bestFit="1" customWidth="1"/>
    <col min="138" max="141" width="20.5703125" bestFit="1" customWidth="1"/>
    <col min="142" max="142" width="27.5703125" bestFit="1" customWidth="1"/>
    <col min="143" max="146" width="28" bestFit="1" customWidth="1"/>
    <col min="147" max="147" width="21.85546875" bestFit="1" customWidth="1"/>
    <col min="148" max="151" width="22.28515625" bestFit="1" customWidth="1"/>
    <col min="152" max="152" width="16.85546875" bestFit="1" customWidth="1"/>
    <col min="153" max="156" width="17.28515625" bestFit="1" customWidth="1"/>
    <col min="157" max="157" width="23.42578125" bestFit="1" customWidth="1"/>
    <col min="158" max="161" width="24" bestFit="1" customWidth="1"/>
    <col min="162" max="162" width="25.5703125" bestFit="1" customWidth="1"/>
    <col min="163" max="163" width="17" bestFit="1" customWidth="1"/>
    <col min="164" max="164" width="16.28515625" bestFit="1" customWidth="1"/>
    <col min="165" max="165" width="16.5703125" bestFit="1" customWidth="1"/>
    <col min="166" max="166" width="13.7109375" bestFit="1" customWidth="1"/>
    <col min="167" max="167" width="15.5703125" bestFit="1" customWidth="1"/>
    <col min="168" max="168" width="29" bestFit="1" customWidth="1"/>
    <col min="169" max="169" width="32.28515625" bestFit="1" customWidth="1"/>
    <col min="170" max="170" width="26.28515625" bestFit="1" customWidth="1"/>
    <col min="171" max="171" width="14.7109375" bestFit="1" customWidth="1"/>
    <col min="172" max="172" width="16.5703125" bestFit="1" customWidth="1"/>
    <col min="173" max="173" width="14.7109375" bestFit="1" customWidth="1"/>
    <col min="174" max="174" width="16.5703125" bestFit="1" customWidth="1"/>
    <col min="175" max="175" width="10.5703125" bestFit="1" customWidth="1"/>
    <col min="176" max="176" width="14.42578125" bestFit="1" customWidth="1"/>
    <col min="177" max="177" width="18.7109375" bestFit="1" customWidth="1"/>
    <col min="178" max="178" width="18.28515625" bestFit="1" customWidth="1"/>
    <col min="179" max="179" width="17" bestFit="1" customWidth="1"/>
    <col min="180" max="180" width="17.7109375" bestFit="1" customWidth="1"/>
    <col min="181" max="181" width="19.85546875" bestFit="1" customWidth="1"/>
    <col min="182" max="182" width="26.140625" bestFit="1" customWidth="1"/>
    <col min="183" max="183" width="8.28515625" bestFit="1" customWidth="1"/>
    <col min="184" max="184" width="8.7109375" bestFit="1" customWidth="1"/>
    <col min="185" max="185" width="20.5703125" bestFit="1" customWidth="1"/>
    <col min="186" max="186" width="24.140625" bestFit="1" customWidth="1"/>
    <col min="187" max="187" width="18.7109375" bestFit="1" customWidth="1"/>
    <col min="188" max="188" width="20.42578125" bestFit="1" customWidth="1"/>
    <col min="189" max="189" width="20.5703125" bestFit="1" customWidth="1"/>
    <col min="190" max="190" width="24.140625" bestFit="1" customWidth="1"/>
    <col min="191" max="191" width="18.7109375" bestFit="1" customWidth="1"/>
    <col min="192" max="192" width="20.42578125" bestFit="1" customWidth="1"/>
    <col min="193" max="193" width="19.7109375" bestFit="1" customWidth="1"/>
    <col min="194" max="194" width="29.140625" bestFit="1" customWidth="1"/>
    <col min="195" max="195" width="37.28515625" bestFit="1" customWidth="1"/>
    <col min="196" max="196" width="21.85546875" bestFit="1" customWidth="1"/>
    <col min="197" max="197" width="18.42578125" bestFit="1" customWidth="1"/>
    <col min="198" max="198" width="18.28515625" bestFit="1" customWidth="1"/>
    <col min="199" max="199" width="19" bestFit="1" customWidth="1"/>
    <col min="200" max="200" width="26.5703125" bestFit="1" customWidth="1"/>
    <col min="201" max="201" width="26.85546875" bestFit="1" customWidth="1"/>
    <col min="202" max="202" width="22.5703125" bestFit="1" customWidth="1"/>
    <col min="203" max="203" width="13.28515625" bestFit="1" customWidth="1"/>
    <col min="204" max="206" width="0" hidden="1" customWidth="1"/>
    <col min="207" max="207" width="24.42578125" bestFit="1" customWidth="1"/>
    <col min="208" max="208" width="30.42578125" bestFit="1" customWidth="1"/>
    <col min="209" max="209" width="24.42578125" bestFit="1" customWidth="1"/>
    <col min="210" max="210" width="21.5703125" bestFit="1" customWidth="1"/>
    <col min="211" max="211" width="23.28515625" bestFit="1" customWidth="1"/>
    <col min="212" max="212" width="29.140625" bestFit="1" customWidth="1"/>
    <col min="213" max="213" width="23.28515625" bestFit="1" customWidth="1"/>
    <col min="214" max="214" width="20.140625" bestFit="1" customWidth="1"/>
    <col min="215" max="215" width="23" bestFit="1" customWidth="1"/>
    <col min="216" max="216" width="29" bestFit="1" customWidth="1"/>
    <col min="217" max="217" width="23" bestFit="1" customWidth="1"/>
    <col min="218" max="218" width="19.85546875" bestFit="1" customWidth="1"/>
    <col min="226" max="226" width="2.28515625" bestFit="1" customWidth="1"/>
  </cols>
  <sheetData>
    <row r="1" spans="1:226" s="14" customFormat="1" x14ac:dyDescent="0.25">
      <c r="A1" s="14" t="s">
        <v>158</v>
      </c>
      <c r="B1" s="14" t="s">
        <v>159</v>
      </c>
      <c r="C1" s="14" t="s">
        <v>160</v>
      </c>
      <c r="D1" s="14" t="s">
        <v>161</v>
      </c>
      <c r="E1" s="14" t="s">
        <v>0</v>
      </c>
      <c r="F1" s="14" t="s">
        <v>1</v>
      </c>
      <c r="G1" s="14" t="s">
        <v>162</v>
      </c>
      <c r="H1" s="14" t="s">
        <v>163</v>
      </c>
      <c r="I1" s="14" t="s">
        <v>2</v>
      </c>
      <c r="J1" s="14" t="s">
        <v>164</v>
      </c>
      <c r="K1" s="14" t="s">
        <v>165</v>
      </c>
      <c r="L1" s="14" t="s">
        <v>166</v>
      </c>
      <c r="M1" s="14" t="s">
        <v>167</v>
      </c>
      <c r="N1" s="14" t="s">
        <v>168</v>
      </c>
      <c r="O1" s="14" t="s">
        <v>6</v>
      </c>
      <c r="P1" s="14" t="s">
        <v>7</v>
      </c>
      <c r="Q1" s="14" t="s">
        <v>8</v>
      </c>
      <c r="R1" s="14" t="s">
        <v>9</v>
      </c>
      <c r="S1" s="14" t="s">
        <v>10</v>
      </c>
      <c r="T1" s="14" t="s">
        <v>11</v>
      </c>
      <c r="U1" s="14" t="s">
        <v>169</v>
      </c>
      <c r="V1" s="14" t="s">
        <v>13</v>
      </c>
      <c r="W1" s="14" t="s">
        <v>14</v>
      </c>
      <c r="X1" s="14" t="s">
        <v>15</v>
      </c>
      <c r="Y1" s="14" t="s">
        <v>170</v>
      </c>
      <c r="Z1" s="14" t="s">
        <v>16</v>
      </c>
      <c r="AA1" s="14" t="s">
        <v>17</v>
      </c>
      <c r="AC1" s="14" t="s">
        <v>18</v>
      </c>
      <c r="AD1" s="14" t="s">
        <v>171</v>
      </c>
      <c r="AE1" s="14" t="s">
        <v>172</v>
      </c>
      <c r="AF1" s="14" t="s">
        <v>173</v>
      </c>
      <c r="AG1" s="14" t="s">
        <v>174</v>
      </c>
      <c r="AH1" s="14" t="s">
        <v>175</v>
      </c>
      <c r="AI1" s="14" t="s">
        <v>19</v>
      </c>
      <c r="AJ1" s="14" t="s">
        <v>20</v>
      </c>
      <c r="AK1" s="14" t="s">
        <v>21</v>
      </c>
      <c r="AL1" s="14" t="s">
        <v>22</v>
      </c>
      <c r="AM1" s="14" t="s">
        <v>23</v>
      </c>
      <c r="AN1" s="14" t="s">
        <v>24</v>
      </c>
      <c r="AO1" s="14" t="s">
        <v>25</v>
      </c>
      <c r="AP1" s="14" t="s">
        <v>26</v>
      </c>
      <c r="AR1" s="14" t="s">
        <v>176</v>
      </c>
      <c r="AS1" s="14" t="s">
        <v>177</v>
      </c>
      <c r="AT1" s="14" t="s">
        <v>27</v>
      </c>
      <c r="AU1" s="14" t="s">
        <v>28</v>
      </c>
      <c r="AV1" s="14" t="s">
        <v>29</v>
      </c>
      <c r="AW1" s="14" t="s">
        <v>178</v>
      </c>
      <c r="AX1" s="14" t="s">
        <v>179</v>
      </c>
      <c r="AY1" s="14" t="s">
        <v>180</v>
      </c>
      <c r="AZ1" s="14" t="s">
        <v>181</v>
      </c>
      <c r="BA1" t="s">
        <v>182</v>
      </c>
      <c r="BB1" t="s">
        <v>183</v>
      </c>
      <c r="BC1" s="14" t="s">
        <v>30</v>
      </c>
      <c r="BD1" s="14" t="s">
        <v>31</v>
      </c>
      <c r="BE1" s="14" t="s">
        <v>32</v>
      </c>
      <c r="BF1" s="14" t="s">
        <v>33</v>
      </c>
      <c r="BG1" s="14" t="s">
        <v>34</v>
      </c>
      <c r="BH1" s="14" t="s">
        <v>184</v>
      </c>
      <c r="BI1" s="14" t="s">
        <v>35</v>
      </c>
      <c r="BJ1" s="14" t="s">
        <v>36</v>
      </c>
      <c r="BK1" s="14" t="s">
        <v>37</v>
      </c>
      <c r="BL1" s="14" t="s">
        <v>38</v>
      </c>
      <c r="BM1" s="14" t="s">
        <v>39</v>
      </c>
      <c r="BN1" s="14" t="s">
        <v>40</v>
      </c>
      <c r="BO1" s="14" t="s">
        <v>41</v>
      </c>
      <c r="BP1" s="14" t="s">
        <v>42</v>
      </c>
      <c r="BQ1" s="14" t="s">
        <v>43</v>
      </c>
      <c r="BR1" s="14" t="s">
        <v>44</v>
      </c>
      <c r="BS1" s="14" t="s">
        <v>45</v>
      </c>
      <c r="BW1" s="14" t="s">
        <v>46</v>
      </c>
      <c r="BY1" s="14" t="s">
        <v>47</v>
      </c>
      <c r="BZ1" s="14" t="s">
        <v>48</v>
      </c>
      <c r="CA1" s="14" t="s">
        <v>49</v>
      </c>
      <c r="CB1" s="14" t="s">
        <v>50</v>
      </c>
      <c r="CC1" s="14" t="s">
        <v>51</v>
      </c>
      <c r="CD1" t="s">
        <v>52</v>
      </c>
      <c r="CE1" t="s">
        <v>53</v>
      </c>
      <c r="CF1" t="s">
        <v>54</v>
      </c>
      <c r="CG1" t="s">
        <v>55</v>
      </c>
      <c r="CH1" s="14" t="s">
        <v>56</v>
      </c>
      <c r="CI1" s="14" t="s">
        <v>57</v>
      </c>
      <c r="CJ1" s="14" t="s">
        <v>58</v>
      </c>
      <c r="CK1" s="14" t="s">
        <v>59</v>
      </c>
      <c r="CL1" s="14" t="s">
        <v>60</v>
      </c>
      <c r="CM1" s="14" t="s">
        <v>61</v>
      </c>
      <c r="CN1" s="14" t="s">
        <v>62</v>
      </c>
      <c r="CO1" s="14" t="s">
        <v>63</v>
      </c>
      <c r="CP1" s="14" t="s">
        <v>64</v>
      </c>
      <c r="CQ1" s="14" t="s">
        <v>65</v>
      </c>
      <c r="CR1" s="14" t="s">
        <v>66</v>
      </c>
      <c r="CS1" s="14" t="s">
        <v>67</v>
      </c>
      <c r="CT1" s="14" t="s">
        <v>68</v>
      </c>
      <c r="CU1" s="14" t="s">
        <v>69</v>
      </c>
      <c r="CV1" s="14" t="s">
        <v>70</v>
      </c>
      <c r="CW1" s="14" t="s">
        <v>71</v>
      </c>
      <c r="CX1" s="14" t="s">
        <v>72</v>
      </c>
      <c r="CY1" s="14" t="s">
        <v>73</v>
      </c>
      <c r="CZ1" s="14" t="s">
        <v>74</v>
      </c>
      <c r="DA1" s="14" t="s">
        <v>75</v>
      </c>
      <c r="DB1" s="14" t="s">
        <v>76</v>
      </c>
      <c r="DC1" s="14" t="s">
        <v>77</v>
      </c>
      <c r="DD1" t="s">
        <v>78</v>
      </c>
      <c r="DE1" t="s">
        <v>79</v>
      </c>
      <c r="DF1" t="s">
        <v>80</v>
      </c>
      <c r="DG1" t="s">
        <v>81</v>
      </c>
      <c r="DH1" t="s">
        <v>82</v>
      </c>
      <c r="DI1" t="s">
        <v>83</v>
      </c>
      <c r="DJ1" t="s">
        <v>84</v>
      </c>
      <c r="DK1" t="s">
        <v>85</v>
      </c>
      <c r="DL1" t="s">
        <v>86</v>
      </c>
      <c r="DM1" t="s">
        <v>87</v>
      </c>
      <c r="DN1" t="s">
        <v>88</v>
      </c>
      <c r="DO1" s="14" t="s">
        <v>185</v>
      </c>
      <c r="DP1" s="15" t="s">
        <v>89</v>
      </c>
      <c r="DQ1" s="14" t="s">
        <v>90</v>
      </c>
      <c r="DR1" s="14" t="s">
        <v>91</v>
      </c>
      <c r="DS1" s="14" t="s">
        <v>92</v>
      </c>
      <c r="DT1" s="14" t="s">
        <v>93</v>
      </c>
      <c r="DU1" s="14" t="s">
        <v>94</v>
      </c>
      <c r="DV1" s="14" t="s">
        <v>95</v>
      </c>
      <c r="DW1" s="14" t="s">
        <v>96</v>
      </c>
      <c r="DX1" s="14" t="s">
        <v>97</v>
      </c>
      <c r="DY1" s="14" t="s">
        <v>98</v>
      </c>
      <c r="DZ1" s="14" t="s">
        <v>99</v>
      </c>
      <c r="EA1" s="14" t="s">
        <v>100</v>
      </c>
      <c r="EB1" s="14" t="s">
        <v>101</v>
      </c>
      <c r="EC1" s="14" t="s">
        <v>102</v>
      </c>
      <c r="ED1" s="14" t="s">
        <v>103</v>
      </c>
      <c r="EE1" s="14" t="s">
        <v>104</v>
      </c>
      <c r="EF1" s="14" t="s">
        <v>105</v>
      </c>
      <c r="EG1" s="14" t="s">
        <v>106</v>
      </c>
      <c r="EH1" s="14" t="s">
        <v>107</v>
      </c>
      <c r="EI1" s="14" t="s">
        <v>108</v>
      </c>
      <c r="EJ1" s="14" t="s">
        <v>109</v>
      </c>
      <c r="EK1" s="14" t="s">
        <v>110</v>
      </c>
      <c r="EL1" s="14" t="s">
        <v>111</v>
      </c>
      <c r="EM1" s="14" t="s">
        <v>112</v>
      </c>
      <c r="EN1" s="14" t="s">
        <v>113</v>
      </c>
      <c r="EO1" s="14" t="s">
        <v>114</v>
      </c>
      <c r="EP1" s="14" t="s">
        <v>115</v>
      </c>
      <c r="EQ1" s="14" t="s">
        <v>116</v>
      </c>
      <c r="ER1" s="14" t="s">
        <v>117</v>
      </c>
      <c r="ES1" s="14" t="s">
        <v>118</v>
      </c>
      <c r="ET1" s="14" t="s">
        <v>119</v>
      </c>
      <c r="EU1" s="14" t="s">
        <v>120</v>
      </c>
      <c r="EV1" s="14" t="s">
        <v>121</v>
      </c>
      <c r="EW1" s="14" t="s">
        <v>122</v>
      </c>
      <c r="EX1" s="14" t="s">
        <v>123</v>
      </c>
      <c r="EY1" s="14" t="s">
        <v>124</v>
      </c>
      <c r="EZ1" s="14" t="s">
        <v>125</v>
      </c>
      <c r="FA1" s="14" t="s">
        <v>126</v>
      </c>
      <c r="FB1" s="14" t="s">
        <v>127</v>
      </c>
      <c r="FC1" s="14" t="s">
        <v>128</v>
      </c>
      <c r="FD1" s="14" t="s">
        <v>129</v>
      </c>
      <c r="FE1" s="14" t="s">
        <v>130</v>
      </c>
      <c r="FF1" s="14" t="s">
        <v>131</v>
      </c>
      <c r="FG1" s="14" t="s">
        <v>132</v>
      </c>
      <c r="FH1" s="14" t="s">
        <v>133</v>
      </c>
      <c r="FI1" s="14" t="s">
        <v>134</v>
      </c>
      <c r="FJ1" s="14" t="s">
        <v>135</v>
      </c>
      <c r="FK1" s="16" t="s">
        <v>186</v>
      </c>
      <c r="FL1" s="16" t="s">
        <v>187</v>
      </c>
      <c r="FM1" s="16" t="s">
        <v>188</v>
      </c>
      <c r="FN1" s="14" t="s">
        <v>189</v>
      </c>
      <c r="FO1" s="16" t="s">
        <v>190</v>
      </c>
      <c r="FP1" s="16" t="s">
        <v>191</v>
      </c>
      <c r="FQ1" s="16" t="s">
        <v>192</v>
      </c>
      <c r="FR1" s="16" t="s">
        <v>193</v>
      </c>
      <c r="FS1" s="16" t="s">
        <v>194</v>
      </c>
      <c r="FT1" s="17" t="s">
        <v>195</v>
      </c>
      <c r="FU1" s="16" t="s">
        <v>196</v>
      </c>
      <c r="FV1" s="16" t="s">
        <v>197</v>
      </c>
      <c r="FW1" s="16" t="s">
        <v>198</v>
      </c>
      <c r="FX1" s="16" t="s">
        <v>199</v>
      </c>
      <c r="FY1" s="16" t="s">
        <v>200</v>
      </c>
      <c r="FZ1" s="16" t="s">
        <v>201</v>
      </c>
      <c r="GA1" s="16" t="s">
        <v>202</v>
      </c>
      <c r="GB1" s="16" t="s">
        <v>203</v>
      </c>
      <c r="GC1" s="16" t="s">
        <v>204</v>
      </c>
      <c r="GD1" s="16" t="s">
        <v>205</v>
      </c>
      <c r="GE1" s="16" t="s">
        <v>206</v>
      </c>
      <c r="GF1" s="16" t="s">
        <v>207</v>
      </c>
      <c r="GG1" s="16" t="s">
        <v>208</v>
      </c>
      <c r="GH1" s="16" t="s">
        <v>209</v>
      </c>
      <c r="GI1" s="16" t="s">
        <v>210</v>
      </c>
      <c r="GJ1" s="16" t="s">
        <v>211</v>
      </c>
      <c r="GK1" s="16" t="s">
        <v>212</v>
      </c>
      <c r="GL1" s="16" t="s">
        <v>213</v>
      </c>
      <c r="GM1" s="16" t="s">
        <v>214</v>
      </c>
      <c r="GN1" s="16" t="s">
        <v>215</v>
      </c>
      <c r="GO1" s="16" t="s">
        <v>216</v>
      </c>
      <c r="GP1" s="16" t="s">
        <v>217</v>
      </c>
      <c r="GQ1" s="16" t="s">
        <v>218</v>
      </c>
      <c r="GR1" s="16" t="s">
        <v>219</v>
      </c>
      <c r="GS1" s="16" t="s">
        <v>220</v>
      </c>
      <c r="GT1" s="16" t="s">
        <v>221</v>
      </c>
      <c r="GU1" s="14" t="s">
        <v>222</v>
      </c>
      <c r="GY1" s="14" t="s">
        <v>223</v>
      </c>
      <c r="GZ1" s="14" t="s">
        <v>224</v>
      </c>
      <c r="HA1" s="14" t="s">
        <v>225</v>
      </c>
      <c r="HB1" s="14" t="s">
        <v>226</v>
      </c>
      <c r="HC1" s="14" t="s">
        <v>227</v>
      </c>
      <c r="HD1" s="14" t="s">
        <v>228</v>
      </c>
      <c r="HE1" s="14" t="s">
        <v>229</v>
      </c>
      <c r="HF1" s="14" t="s">
        <v>230</v>
      </c>
      <c r="HG1" s="14" t="s">
        <v>231</v>
      </c>
      <c r="HH1" s="14" t="s">
        <v>232</v>
      </c>
      <c r="HI1" s="14" t="s">
        <v>233</v>
      </c>
      <c r="HJ1" s="14" t="s">
        <v>234</v>
      </c>
    </row>
    <row r="2" spans="1:226" x14ac:dyDescent="0.25">
      <c r="A2" t="str">
        <f>IF('Raw File'!E3&gt;0,'Raw File'!E3, " ")</f>
        <v>Terrionna</v>
      </c>
      <c r="B2" t="str">
        <f>IF('Raw File'!D3&gt;0,'Raw File'!D3," ")</f>
        <v>Traylor</v>
      </c>
      <c r="C2" t="str">
        <f>IF('Raw File'!F3&gt;0,'Raw File'!F3, " ")</f>
        <v xml:space="preserve"> </v>
      </c>
      <c r="D2" s="1">
        <f>IF('Raw File'!R3&gt;0,'Raw File'!R3, " ")</f>
        <v>35888</v>
      </c>
      <c r="E2">
        <f>IF('Raw File'!C3&gt;0, 296, " ")</f>
        <v>296</v>
      </c>
      <c r="F2" s="11" t="str">
        <f>IF('Raw File'!C3&gt;0, "5", " ")</f>
        <v>5</v>
      </c>
      <c r="G2" t="str">
        <f>IF('Raw File'!C3&gt;0, "X", " ")</f>
        <v>X</v>
      </c>
      <c r="H2" t="str">
        <f>IF('Raw File'!N3="H", "S", LEFT('Raw File'!N3, 1))</f>
        <v>S</v>
      </c>
      <c r="J2" t="str">
        <f>IF('Raw File'!J3&gt;0,'Raw File'!J3," ")</f>
        <v>11250 Lee Ave  #K74</v>
      </c>
      <c r="L2">
        <f>IF('Raw File'!M3&gt;0,'Raw File'!M3," ")</f>
        <v>92301</v>
      </c>
      <c r="M2" t="str">
        <f>IF('Raw File'!K3&gt;0,'Raw File'!K3," ")</f>
        <v>Adelanto</v>
      </c>
      <c r="N2" t="str">
        <f>IF('Raw File'!L3&gt;0,'Raw File'!L3," ")</f>
        <v>CA</v>
      </c>
      <c r="U2" t="str">
        <f>IF('Raw File'!Q3&gt;0,'Raw File'!Q3," ")</f>
        <v>F</v>
      </c>
      <c r="W2" t="str">
        <f>VLOOKUP(Y2,[1]HRPYDBRUNPSG175243496hwdhtquhqw!$K$3:$K$12,1,0)</f>
        <v>625-04-9761</v>
      </c>
      <c r="Y2" t="str">
        <f>IF('Raw File'!C3&gt;0,'Raw File'!C3," ")</f>
        <v>625-04-9761</v>
      </c>
      <c r="Z2" t="str">
        <f>IF('Raw File'!C3&gt;0, "A", " ")</f>
        <v>A</v>
      </c>
      <c r="AA2" t="str">
        <f>IF('Raw File'!C3&gt;0, "F", " ")</f>
        <v>F</v>
      </c>
      <c r="AB2" t="str">
        <f>VLOOKUP(AC2,'[2]Sheet 1'!$H$3:$I$64,2,0)</f>
        <v xml:space="preserve">SB Big Lots                mail </v>
      </c>
      <c r="AC2">
        <f>IF('Raw File'!H3&gt;0,'Raw File'!H3," ")</f>
        <v>7188140</v>
      </c>
      <c r="AD2" s="12">
        <f>IF('Raw File'!C3&gt;0,IF(WhatColor('Raw File'!C3)&gt;10,8810,8018)," ")</f>
        <v>8810</v>
      </c>
      <c r="AE2" s="1">
        <f>IF('Raw File'!C3&gt;0,'Raw File'!A3," ")</f>
        <v>44796</v>
      </c>
      <c r="AF2" s="1">
        <f>IF('Raw File'!C3&gt;0,'Raw File'!A3," ")</f>
        <v>44796</v>
      </c>
      <c r="AG2" s="1">
        <f>IF('Raw File'!C3&gt;0,'Raw File'!A3," ")</f>
        <v>44796</v>
      </c>
      <c r="AH2" t="str">
        <f>IF('Raw File'!C3&gt;0,'Raw File'!C3, " ")</f>
        <v>625-04-9761</v>
      </c>
      <c r="AR2" t="str">
        <f>IF('Raw File'!G3&gt;0, IF('Raw File'!G3&lt;100, "H", "S"), " ")</f>
        <v>H</v>
      </c>
      <c r="AS2">
        <f>IF('Raw File'!G3&gt;0,'Raw File'!G3," ")</f>
        <v>15</v>
      </c>
      <c r="AU2">
        <f>IF('Raw File'!C3&gt;0,40," ")</f>
        <v>40</v>
      </c>
      <c r="AW2" t="str">
        <f>IF('Raw File'!N3= 0, " ", IF('Raw File'!N3="S", "SS", IF( 'Raw File'!N3= "M", "MJ", IF('Raw File'!N3= "H", "H"))))</f>
        <v>H</v>
      </c>
      <c r="AX2" s="13"/>
      <c r="AY2" t="str">
        <f>LEFT('Raw File'!P3,1)</f>
        <v/>
      </c>
      <c r="AZ2" t="str">
        <f>LEFT('Raw File'!N3,1)</f>
        <v>H</v>
      </c>
      <c r="BA2">
        <f>IF('Raw File'!O3="exempt",99,IF('Raw File'!O3&gt;0,'Raw File'!O3/2000,IF('Raw File'!O3=0,'Raw File'!O3," ")))</f>
        <v>3</v>
      </c>
      <c r="BB2" t="str">
        <f>LEFT('Raw File'!P3,1)</f>
        <v/>
      </c>
      <c r="BK2" t="str">
        <f>IF('Raw File'!C3&gt;0,"1"," ")</f>
        <v>1</v>
      </c>
      <c r="BY2" t="str">
        <f>IF('Raw File'!C3&gt;0,"WEEKLY"," ")</f>
        <v>WEEKLY</v>
      </c>
      <c r="CB2" t="str">
        <f>IF('Raw File'!C3&gt;0, "N"," ")</f>
        <v>N</v>
      </c>
      <c r="CJ2" t="str">
        <f>IF('Raw File'!C3&gt;0, "W", " ")</f>
        <v>W</v>
      </c>
      <c r="DO2" s="1">
        <f>IF('Raw File'!C3&gt;0,'Raw File'!A3," ")</f>
        <v>44796</v>
      </c>
      <c r="GZ2">
        <f>IF('Raw File'!O3=" "," ",IF('Raw File'!O3&gt;100,'Raw File'!O3,IF('Raw File'!O3="exempt","99999",IF('Raw File'!O3&lt;100, 'Raw File'!O3*2000, " "))))</f>
        <v>6000</v>
      </c>
      <c r="HR2" t="str">
        <f>IF('Raw File'!C3&gt;0,"1"," ")</f>
        <v>1</v>
      </c>
    </row>
    <row r="3" spans="1:226" x14ac:dyDescent="0.25">
      <c r="A3" t="str">
        <f>IF('Raw File'!E4&gt;0,'Raw File'!E4, " ")</f>
        <v>Jacqueline</v>
      </c>
      <c r="B3" t="str">
        <f>IF('Raw File'!D4&gt;0,'Raw File'!D4," ")</f>
        <v>Johnson</v>
      </c>
      <c r="C3" t="str">
        <f>IF('Raw File'!F4&gt;0,'Raw File'!F4, " ")</f>
        <v xml:space="preserve"> </v>
      </c>
      <c r="D3" s="1">
        <f>IF('Raw File'!R4&gt;0,'Raw File'!R4, " ")</f>
        <v>26091</v>
      </c>
      <c r="E3">
        <f>IF('Raw File'!C4&gt;0, 296, " ")</f>
        <v>296</v>
      </c>
      <c r="F3" s="11" t="str">
        <f>IF('Raw File'!C4&gt;0, "5", " ")</f>
        <v>5</v>
      </c>
      <c r="G3" t="str">
        <f>IF('Raw File'!C4&gt;0, "X", " ")</f>
        <v>X</v>
      </c>
      <c r="H3" t="str">
        <f>IF('Raw File'!N4="H", "S", LEFT('Raw File'!N4, 1))</f>
        <v>S</v>
      </c>
      <c r="J3" t="str">
        <f>IF('Raw File'!J4&gt;0,'Raw File'!J4," ")</f>
        <v xml:space="preserve">22771 Eyota Road </v>
      </c>
      <c r="L3">
        <f>IF('Raw File'!M4&gt;0,'Raw File'!M4," ")</f>
        <v>92308</v>
      </c>
      <c r="M3" t="str">
        <f>IF('Raw File'!K4&gt;0,'Raw File'!K4," ")</f>
        <v>Apple Valley</v>
      </c>
      <c r="N3" t="str">
        <f>IF('Raw File'!L4&gt;0,'Raw File'!L4," ")</f>
        <v>CA</v>
      </c>
      <c r="U3" t="str">
        <f>IF('Raw File'!Q4&gt;0,'Raw File'!Q4," ")</f>
        <v>F</v>
      </c>
      <c r="W3" t="str">
        <f>VLOOKUP(Y3,[1]HRPYDBRUNPSG175243496hwdhtquhqw!$K$3:$K$12,1,0)</f>
        <v>427-21-6535</v>
      </c>
      <c r="Y3" s="32" t="str">
        <f>IF('Raw File'!C4&gt;0,'Raw File'!C4," ")</f>
        <v>427-21-6535</v>
      </c>
      <c r="Z3" t="str">
        <f>IF('Raw File'!C4&gt;0, "A", " ")</f>
        <v>A</v>
      </c>
      <c r="AA3" t="str">
        <f>IF('Raw File'!C4&gt;0, "F", " ")</f>
        <v>F</v>
      </c>
      <c r="AB3" t="str">
        <f>VLOOKUP(AC3,'[2]Sheet 1'!$H$3:$I$64,2,0)</f>
        <v xml:space="preserve">SB Big Lots                mail </v>
      </c>
      <c r="AC3">
        <f>IF('Raw File'!H4&gt;0,'Raw File'!H4," ")</f>
        <v>7188140</v>
      </c>
      <c r="AD3" s="12">
        <f>IF('Raw File'!C4&gt;0,IF(WhatColor('Raw File'!C4)&gt;10,8810,8018)," ")</f>
        <v>8018</v>
      </c>
      <c r="AE3" s="1">
        <f>IF('Raw File'!C4&gt;0,'Raw File'!A4," ")</f>
        <v>43497</v>
      </c>
      <c r="AF3" s="1">
        <f>IF('Raw File'!C4&gt;0,'Raw File'!A4," ")</f>
        <v>43497</v>
      </c>
      <c r="AG3" s="1">
        <f>IF('Raw File'!C4&gt;0,'Raw File'!A4," ")</f>
        <v>43497</v>
      </c>
      <c r="AH3" t="str">
        <f>IF('Raw File'!C4&gt;0,'Raw File'!C4, " ")</f>
        <v>427-21-6535</v>
      </c>
      <c r="AR3" t="str">
        <f>IF('Raw File'!G4&gt;0, IF('Raw File'!G4&lt;100, "H", "S"), " ")</f>
        <v>H</v>
      </c>
      <c r="AS3">
        <f>IF('Raw File'!G4&gt;0,'Raw File'!G4," ")</f>
        <v>15</v>
      </c>
      <c r="AU3">
        <f>IF('Raw File'!C4&gt;0,40," ")</f>
        <v>40</v>
      </c>
      <c r="AW3" t="str">
        <f>IF('Raw File'!N4= 0, " ", IF('Raw File'!N4="S", "SS", IF( 'Raw File'!N4= "M", "MJ", IF('Raw File'!N4= "H", "H"))))</f>
        <v>SS</v>
      </c>
      <c r="AX3" s="13"/>
      <c r="AY3" t="str">
        <f>LEFT('Raw File'!P4,1)</f>
        <v/>
      </c>
      <c r="AZ3" t="str">
        <f>LEFT('Raw File'!N4,1)</f>
        <v>S</v>
      </c>
      <c r="BA3">
        <v>0</v>
      </c>
      <c r="BB3" t="str">
        <f>LEFT('Raw File'!P4,1)</f>
        <v/>
      </c>
      <c r="BK3" t="str">
        <f>IF('Raw File'!C4&gt;0,"1"," ")</f>
        <v>1</v>
      </c>
      <c r="BY3" t="str">
        <f>IF('Raw File'!C4&gt;0,"WEEKLY"," ")</f>
        <v>WEEKLY</v>
      </c>
      <c r="CB3" t="str">
        <f>IF('Raw File'!C4&gt;0, "N"," ")</f>
        <v>N</v>
      </c>
      <c r="CJ3" t="str">
        <f>IF('Raw File'!C4&gt;0, "W", " ")</f>
        <v>W</v>
      </c>
      <c r="DO3" s="1">
        <f>IF('Raw File'!C4&gt;0,'Raw File'!A4," ")</f>
        <v>43497</v>
      </c>
      <c r="GZ3">
        <f>IF('Raw File'!O4=" "," ",IF('Raw File'!O4&gt;100,'Raw File'!O4,IF('Raw File'!O4="exempt","99999",IF('Raw File'!O4&lt;100, 'Raw File'!O4*2000, " "))))</f>
        <v>500</v>
      </c>
      <c r="HR3" t="str">
        <f>IF('Raw File'!C4&gt;0,"1"," ")</f>
        <v>1</v>
      </c>
    </row>
    <row r="4" spans="1:226" x14ac:dyDescent="0.25">
      <c r="A4" t="str">
        <f>IF('Raw File'!E11&gt;0,'Raw File'!E11, " ")</f>
        <v>David</v>
      </c>
      <c r="B4" t="str">
        <f>IF('Raw File'!D11&gt;0,'Raw File'!D11," ")</f>
        <v>Rosa</v>
      </c>
      <c r="C4" t="str">
        <f>IF('Raw File'!F11&gt;0,'Raw File'!F11, " ")</f>
        <v xml:space="preserve"> </v>
      </c>
      <c r="D4" s="1">
        <f>IF('Raw File'!R11&gt;0,'Raw File'!R11, " ")</f>
        <v>31988</v>
      </c>
      <c r="E4">
        <f>IF('Raw File'!C11&gt;0, 296, " ")</f>
        <v>296</v>
      </c>
      <c r="F4" s="11" t="str">
        <f>IF('Raw File'!C11&gt;0, "5", " ")</f>
        <v>5</v>
      </c>
      <c r="G4" t="str">
        <f>IF('Raw File'!C11&gt;0, "X", " ")</f>
        <v>X</v>
      </c>
      <c r="H4" t="str">
        <f>IF('Raw File'!N11="H", "S", LEFT('Raw File'!N11, 1))</f>
        <v>S</v>
      </c>
      <c r="J4" t="str">
        <f>IF('Raw File'!J11&gt;0,'Raw File'!J11," ")</f>
        <v>15228 Sunflower Ln</v>
      </c>
      <c r="L4">
        <f>IF('Raw File'!M11&gt;0,'Raw File'!M11," ")</f>
        <v>92394</v>
      </c>
      <c r="M4" t="str">
        <f>IF('Raw File'!K11&gt;0,'Raw File'!K11," ")</f>
        <v>Victorville</v>
      </c>
      <c r="N4" t="str">
        <f>IF('Raw File'!L11&gt;0,'Raw File'!L11," ")</f>
        <v>CA</v>
      </c>
      <c r="U4" t="str">
        <f>IF('Raw File'!Q11&gt;0,'Raw File'!Q11," ")</f>
        <v>M</v>
      </c>
      <c r="W4" t="str">
        <f>VLOOKUP(Y4,[1]HRPYDBRUNPSG175243496hwdhtquhqw!$K$3:$K$12,1,0)</f>
        <v>546-99-0094</v>
      </c>
      <c r="Y4" s="33" t="str">
        <f>IF('Raw File'!C11&gt;0,'Raw File'!C11," ")</f>
        <v>546-99-0094</v>
      </c>
      <c r="Z4" t="str">
        <f>IF('Raw File'!C11&gt;0, "A", " ")</f>
        <v>A</v>
      </c>
      <c r="AA4" t="str">
        <f>IF('Raw File'!C11&gt;0, "F", " ")</f>
        <v>F</v>
      </c>
      <c r="AB4" t="str">
        <f>VLOOKUP(AC4,'[2]Sheet 1'!$H$3:$I$64,2,0)</f>
        <v xml:space="preserve">SB Big Lots                mail </v>
      </c>
      <c r="AC4">
        <f>IF('Raw File'!H11&gt;0,'Raw File'!H11," ")</f>
        <v>7188140</v>
      </c>
      <c r="AD4" s="12">
        <f>IF('Raw File'!C11&gt;0,IF(WhatColor('Raw File'!C11)&gt;10,8810,8018)," ")</f>
        <v>8018</v>
      </c>
      <c r="AE4" s="1">
        <f>IF('Raw File'!C11&gt;0,'Raw File'!A11," ")</f>
        <v>44406</v>
      </c>
      <c r="AF4" s="1">
        <f>IF('Raw File'!C11&gt;0,'Raw File'!A11," ")</f>
        <v>44406</v>
      </c>
      <c r="AG4" s="1">
        <f>IF('Raw File'!C11&gt;0,'Raw File'!A11," ")</f>
        <v>44406</v>
      </c>
      <c r="AH4" t="str">
        <f>IF('Raw File'!C11&gt;0,'Raw File'!C11, " ")</f>
        <v>546-99-0094</v>
      </c>
      <c r="AR4" t="str">
        <f>IF('Raw File'!G11&gt;0, IF('Raw File'!G11&lt;100, "H", "S"), " ")</f>
        <v>H</v>
      </c>
      <c r="AS4">
        <f>IF('Raw File'!G11&gt;0,'Raw File'!G11," ")</f>
        <v>15</v>
      </c>
      <c r="AU4">
        <f>IF('Raw File'!C11&gt;0,40," ")</f>
        <v>40</v>
      </c>
      <c r="AW4" t="str">
        <f>IF('Raw File'!N11= 0, " ", IF('Raw File'!N11="S", "SS", IF( 'Raw File'!N11= "M", "MJ", IF('Raw File'!N11= "H", "H"))))</f>
        <v>SS</v>
      </c>
      <c r="AX4" s="13"/>
      <c r="AY4" t="str">
        <f>LEFT('Raw File'!P11,1)</f>
        <v/>
      </c>
      <c r="AZ4" t="str">
        <f>LEFT('Raw File'!N11,1)</f>
        <v>S</v>
      </c>
      <c r="BA4">
        <f>IF('Raw File'!O11="exempt",99,IF('Raw File'!O11&gt;0,'Raw File'!O11/2000,IF('Raw File'!O11=0,'Raw File'!O11," ")))</f>
        <v>0</v>
      </c>
      <c r="BB4" t="str">
        <f>LEFT('Raw File'!P11,1)</f>
        <v/>
      </c>
      <c r="BK4" t="str">
        <f>IF('Raw File'!C11&gt;0,"1"," ")</f>
        <v>1</v>
      </c>
      <c r="BY4" t="str">
        <f>IF('Raw File'!C11&gt;0,"WEEKLY"," ")</f>
        <v>WEEKLY</v>
      </c>
      <c r="CB4" t="str">
        <f>IF('Raw File'!C11&gt;0, "N"," ")</f>
        <v>N</v>
      </c>
      <c r="CJ4" t="str">
        <f>IF('Raw File'!C11&gt;0, "W", " ")</f>
        <v>W</v>
      </c>
      <c r="DO4" s="1">
        <f>IF('Raw File'!C11&gt;0,'Raw File'!A11," ")</f>
        <v>44406</v>
      </c>
      <c r="GZ4">
        <f>IF('Raw File'!O11=" "," ",IF('Raw File'!O11&gt;100,'Raw File'!O11,IF('Raw File'!O11="exempt","99999",IF('Raw File'!O11&lt;100, 'Raw File'!O11*2000, " "))))</f>
        <v>0</v>
      </c>
      <c r="HR4" t="str">
        <f>IF('Raw File'!C11&gt;0,"1"," ")</f>
        <v>1</v>
      </c>
    </row>
    <row r="5" spans="1:226" x14ac:dyDescent="0.25">
      <c r="A5" t="str">
        <f>IF('Raw File'!E27&gt;0,'Raw File'!E27, " ")</f>
        <v>Victor</v>
      </c>
      <c r="B5" t="str">
        <f>IF('Raw File'!D27&gt;0,'Raw File'!D27," ")</f>
        <v>Avina</v>
      </c>
      <c r="C5" t="str">
        <f>IF('Raw File'!F27&gt;0,'Raw File'!F27, " ")</f>
        <v xml:space="preserve"> </v>
      </c>
      <c r="D5" s="1">
        <f>IF('Raw File'!R27&gt;0,'Raw File'!R27, " ")</f>
        <v>35745</v>
      </c>
      <c r="E5">
        <f>IF('Raw File'!C27&gt;0, 296, " ")</f>
        <v>296</v>
      </c>
      <c r="F5" s="11" t="str">
        <f>IF('Raw File'!C27&gt;0, "5", " ")</f>
        <v>5</v>
      </c>
      <c r="G5" t="str">
        <f>IF('Raw File'!C27&gt;0, "X", " ")</f>
        <v>X</v>
      </c>
      <c r="H5" t="str">
        <f>IF('Raw File'!N27="H", "S", LEFT('Raw File'!N27, 1))</f>
        <v>S</v>
      </c>
      <c r="J5" t="str">
        <f>IF('Raw File'!J27&gt;0,'Raw File'!J27," ")</f>
        <v>1583 Kendall Dr</v>
      </c>
      <c r="L5">
        <f>IF('Raw File'!M27&gt;0,'Raw File'!M27," ")</f>
        <v>92407</v>
      </c>
      <c r="M5" t="str">
        <f>IF('Raw File'!K27&gt;0,'Raw File'!K27," ")</f>
        <v>San Bernardino</v>
      </c>
      <c r="N5" t="str">
        <f>IF('Raw File'!L27&gt;0,'Raw File'!L27," ")</f>
        <v>CA</v>
      </c>
      <c r="U5" t="str">
        <f>IF('Raw File'!Q27&gt;0,'Raw File'!Q27," ")</f>
        <v>M</v>
      </c>
      <c r="W5" t="str">
        <f>VLOOKUP(Y5,[1]HRPYDBRUNPSG175243496hwdhtquhqw!$K$3:$K$12,1,0)</f>
        <v>620-02-7970</v>
      </c>
      <c r="Y5" t="str">
        <f>IF('Raw File'!C27&gt;0,'Raw File'!C27," ")</f>
        <v>620-02-7970</v>
      </c>
      <c r="Z5" t="str">
        <f>IF('Raw File'!C27&gt;0, "A", " ")</f>
        <v>A</v>
      </c>
      <c r="AA5" t="str">
        <f>IF('Raw File'!C27&gt;0, "F", " ")</f>
        <v>F</v>
      </c>
      <c r="AB5" t="str">
        <f>VLOOKUP(AC5,'[2]Sheet 1'!$H$3:$I$64,2,0)</f>
        <v>SB G &amp; B Fulfillment</v>
      </c>
      <c r="AC5">
        <f>IF('Raw File'!H27&gt;0,'Raw File'!H27," ")</f>
        <v>7188189</v>
      </c>
      <c r="AD5" s="12">
        <f>IF('Raw File'!C27&gt;0,IF(WhatColor('Raw File'!C27)&gt;10,8810,8018)," ")</f>
        <v>8018</v>
      </c>
      <c r="AE5" s="1">
        <f>IF('Raw File'!C27&gt;0,'Raw File'!A27," ")</f>
        <v>44795</v>
      </c>
      <c r="AF5" s="1">
        <f>IF('Raw File'!C27&gt;0,'Raw File'!A27," ")</f>
        <v>44795</v>
      </c>
      <c r="AG5" s="1">
        <f>IF('Raw File'!C27&gt;0,'Raw File'!A27," ")</f>
        <v>44795</v>
      </c>
      <c r="AH5" t="str">
        <f>IF('Raw File'!C27&gt;0,'Raw File'!C27, " ")</f>
        <v>620-02-7970</v>
      </c>
      <c r="AR5" t="str">
        <f>IF('Raw File'!G27&gt;0, IF('Raw File'!G27&lt;100, "H", "S"), " ")</f>
        <v>H</v>
      </c>
      <c r="AS5">
        <f>IF('Raw File'!G27&gt;0,'Raw File'!G27," ")</f>
        <v>20</v>
      </c>
      <c r="AU5">
        <f>IF('Raw File'!C27&gt;0,40," ")</f>
        <v>40</v>
      </c>
      <c r="AW5" t="str">
        <f>IF('Raw File'!N27= 0, " ", IF('Raw File'!N27="S", "SS", IF( 'Raw File'!N27= "M", "MJ", IF('Raw File'!N27= "H", "H"))))</f>
        <v>SS</v>
      </c>
      <c r="AX5" s="13"/>
      <c r="AY5" t="str">
        <f>LEFT('Raw File'!P27,1)</f>
        <v/>
      </c>
      <c r="AZ5" t="str">
        <f>LEFT('Raw File'!N27,1)</f>
        <v>S</v>
      </c>
      <c r="BA5">
        <f>IF('Raw File'!O27="exempt",99,IF('Raw File'!O27&gt;0,'Raw File'!O27/2000,IF('Raw File'!O27=0,'Raw File'!O27," ")))</f>
        <v>0</v>
      </c>
      <c r="BB5" t="str">
        <f>LEFT('Raw File'!P27,1)</f>
        <v/>
      </c>
      <c r="BK5" t="str">
        <f>IF('Raw File'!C27&gt;0,"1"," ")</f>
        <v>1</v>
      </c>
      <c r="BY5" t="str">
        <f>IF('Raw File'!C27&gt;0,"WEEKLY"," ")</f>
        <v>WEEKLY</v>
      </c>
      <c r="CB5" t="str">
        <f>IF('Raw File'!C27&gt;0, "N"," ")</f>
        <v>N</v>
      </c>
      <c r="CJ5" t="str">
        <f>IF('Raw File'!C27&gt;0, "W", " ")</f>
        <v>W</v>
      </c>
      <c r="DO5" s="1">
        <f>IF('Raw File'!C27&gt;0,'Raw File'!A27," ")</f>
        <v>44795</v>
      </c>
      <c r="GZ5">
        <f>IF('Raw File'!O27=" "," ",IF('Raw File'!O27&gt;100,'Raw File'!O27,IF('Raw File'!O27="exempt","99999",IF('Raw File'!O27&lt;100, 'Raw File'!O27*2000, " "))))</f>
        <v>0</v>
      </c>
      <c r="HR5" t="str">
        <f>IF('Raw File'!C27&gt;0,"1"," ")</f>
        <v>1</v>
      </c>
    </row>
    <row r="6" spans="1:226" x14ac:dyDescent="0.25">
      <c r="A6" t="str">
        <f>IF('Raw File'!E36&gt;0,'Raw File'!E36, " ")</f>
        <v>Karime</v>
      </c>
      <c r="B6" t="str">
        <f>IF('Raw File'!D36&gt;0,'Raw File'!D36," ")</f>
        <v>Urias</v>
      </c>
      <c r="C6" t="str">
        <f>IF('Raw File'!F36&gt;0,'Raw File'!F36, " ")</f>
        <v xml:space="preserve"> </v>
      </c>
      <c r="D6" s="1">
        <f>IF('Raw File'!R36&gt;0,'Raw File'!R36, " ")</f>
        <v>34562</v>
      </c>
      <c r="E6">
        <f>IF('Raw File'!C36&gt;0, 296, " ")</f>
        <v>296</v>
      </c>
      <c r="F6" s="11" t="str">
        <f>IF('Raw File'!C36&gt;0, "5", " ")</f>
        <v>5</v>
      </c>
      <c r="G6" t="str">
        <f>IF('Raw File'!C36&gt;0, "X", " ")</f>
        <v>X</v>
      </c>
      <c r="H6" t="str">
        <f>IF('Raw File'!N36="H", "S", LEFT('Raw File'!N36, 1))</f>
        <v>S</v>
      </c>
      <c r="J6" t="str">
        <f>IF('Raw File'!J36&gt;0,'Raw File'!J36," ")</f>
        <v>146 W Virginia St</v>
      </c>
      <c r="L6">
        <f>IF('Raw File'!M36&gt;0,'Raw File'!M36," ")</f>
        <v>92376</v>
      </c>
      <c r="M6" t="str">
        <f>IF('Raw File'!K36&gt;0,'Raw File'!K36," ")</f>
        <v>Rialto</v>
      </c>
      <c r="N6" t="str">
        <f>IF('Raw File'!L36&gt;0,'Raw File'!L36," ")</f>
        <v>CA</v>
      </c>
      <c r="U6" t="str">
        <f>IF('Raw File'!Q36&gt;0,'Raw File'!Q36," ")</f>
        <v>F</v>
      </c>
      <c r="W6" t="str">
        <f>VLOOKUP(Y6,[1]HRPYDBRUNPSG175243496hwdhtquhqw!$K$3:$K$12,1,0)</f>
        <v>604-90-8851</v>
      </c>
      <c r="Y6" t="str">
        <f>IF('Raw File'!C36&gt;0,'Raw File'!C36," ")</f>
        <v>604-90-8851</v>
      </c>
      <c r="Z6" t="str">
        <f>IF('Raw File'!C36&gt;0, "A", " ")</f>
        <v>A</v>
      </c>
      <c r="AA6" t="str">
        <f>IF('Raw File'!C36&gt;0, "F", " ")</f>
        <v>F</v>
      </c>
      <c r="AB6" t="str">
        <f>VLOOKUP(AC6,'[2]Sheet 1'!$H$3:$I$64,2,0)</f>
        <v>SB Sweet Harvest</v>
      </c>
      <c r="AC6">
        <f>IF('Raw File'!H36&gt;0,'Raw File'!H36," ")</f>
        <v>7188061</v>
      </c>
      <c r="AD6" s="12">
        <f>IF('Raw File'!C36&gt;0,IF(WhatColor('Raw File'!C36)&gt;10,8810,8018)," ")</f>
        <v>8018</v>
      </c>
      <c r="AE6" s="1">
        <f>IF('Raw File'!C36&gt;0,'Raw File'!A36," ")</f>
        <v>44796</v>
      </c>
      <c r="AF6" s="1">
        <f>IF('Raw File'!C36&gt;0,'Raw File'!A36," ")</f>
        <v>44796</v>
      </c>
      <c r="AG6" s="1">
        <f>IF('Raw File'!C36&gt;0,'Raw File'!A36," ")</f>
        <v>44796</v>
      </c>
      <c r="AH6" t="str">
        <f>IF('Raw File'!C36&gt;0,'Raw File'!C36, " ")</f>
        <v>604-90-8851</v>
      </c>
      <c r="AR6" t="str">
        <f>IF('Raw File'!G36&gt;0, IF('Raw File'!G36&lt;100, "H", "S"), " ")</f>
        <v>H</v>
      </c>
      <c r="AS6">
        <f>IF('Raw File'!G36&gt;0,'Raw File'!G36," ")</f>
        <v>16</v>
      </c>
      <c r="AU6">
        <f>IF('Raw File'!C36&gt;0,40," ")</f>
        <v>40</v>
      </c>
      <c r="AW6" t="str">
        <f>IF('Raw File'!N36= 0, " ", IF('Raw File'!N36="S", "SS", IF( 'Raw File'!N36= "M", "MJ", IF('Raw File'!N36= "H", "H"))))</f>
        <v>SS</v>
      </c>
      <c r="AX6" s="13"/>
      <c r="AY6" t="str">
        <f>LEFT('Raw File'!P36,1)</f>
        <v/>
      </c>
      <c r="AZ6" t="str">
        <f>LEFT('Raw File'!N36,1)</f>
        <v>S</v>
      </c>
      <c r="BA6" t="s">
        <v>517</v>
      </c>
      <c r="BB6" t="str">
        <f>LEFT('Raw File'!P36,1)</f>
        <v/>
      </c>
      <c r="BK6" t="str">
        <f>IF('Raw File'!C36&gt;0,"1"," ")</f>
        <v>1</v>
      </c>
      <c r="BY6" t="str">
        <f>IF('Raw File'!C36&gt;0,"WEEKLY"," ")</f>
        <v>WEEKLY</v>
      </c>
      <c r="CB6" t="str">
        <f>IF('Raw File'!C36&gt;0, "N"," ")</f>
        <v>N</v>
      </c>
      <c r="CJ6" t="str">
        <f>IF('Raw File'!C36&gt;0, "W", " ")</f>
        <v>W</v>
      </c>
      <c r="DO6" s="1">
        <f>IF('Raw File'!C36&gt;0,'Raw File'!A36," ")</f>
        <v>44796</v>
      </c>
      <c r="GZ6" t="s">
        <v>517</v>
      </c>
      <c r="HR6" t="str">
        <f>IF('Raw File'!C36&gt;0,"1"," ")</f>
        <v>1</v>
      </c>
    </row>
    <row r="7" spans="1:226" x14ac:dyDescent="0.25">
      <c r="A7" t="str">
        <f>IF('Raw File'!E42&gt;0,'Raw File'!E42, " ")</f>
        <v>Diamond</v>
      </c>
      <c r="B7" t="str">
        <f>IF('Raw File'!D42&gt;0,'Raw File'!D42," ")</f>
        <v>Seiuli</v>
      </c>
      <c r="C7" t="str">
        <f>IF('Raw File'!F42&gt;0,'Raw File'!F42, " ")</f>
        <v xml:space="preserve"> </v>
      </c>
      <c r="D7" s="1">
        <f>IF('Raw File'!R42&gt;0,'Raw File'!R42, " ")</f>
        <v>34844</v>
      </c>
      <c r="E7">
        <f>IF('Raw File'!C42&gt;0, 296, " ")</f>
        <v>296</v>
      </c>
      <c r="F7" s="11" t="str">
        <f>IF('Raw File'!C42&gt;0, "5", " ")</f>
        <v>5</v>
      </c>
      <c r="G7" t="str">
        <f>IF('Raw File'!C42&gt;0, "X", " ")</f>
        <v>X</v>
      </c>
      <c r="H7" t="str">
        <f>IF('Raw File'!N42="H", "S", LEFT('Raw File'!N42, 1))</f>
        <v>S</v>
      </c>
      <c r="J7" t="str">
        <f>IF('Raw File'!J42&gt;0,'Raw File'!J42," ")</f>
        <v>1303 E Lynwood dr  #6</v>
      </c>
      <c r="L7">
        <f>IF('Raw File'!M42&gt;0,'Raw File'!M42," ")</f>
        <v>92404</v>
      </c>
      <c r="M7" t="str">
        <f>IF('Raw File'!K42&gt;0,'Raw File'!K42," ")</f>
        <v>San Bernardino</v>
      </c>
      <c r="N7" t="str">
        <f>IF('Raw File'!L42&gt;0,'Raw File'!L42," ")</f>
        <v>CA</v>
      </c>
      <c r="U7" t="str">
        <f>IF('Raw File'!Q42&gt;0,'Raw File'!Q42," ")</f>
        <v>M</v>
      </c>
      <c r="W7" t="str">
        <f>VLOOKUP(Y7,[1]HRPYDBRUNPSG175243496hwdhtquhqw!$K$3:$K$12,1,0)</f>
        <v>615-82-3967</v>
      </c>
      <c r="Y7" s="32" t="str">
        <f>IF('Raw File'!C42&gt;0,'Raw File'!C42," ")</f>
        <v>615-82-3967</v>
      </c>
      <c r="Z7" t="str">
        <f>IF('Raw File'!C42&gt;0, "A", " ")</f>
        <v>A</v>
      </c>
      <c r="AA7" t="str">
        <f>IF('Raw File'!C42&gt;0, "F", " ")</f>
        <v>F</v>
      </c>
      <c r="AB7" t="str">
        <f>VLOOKUP(AC7,'[2]Sheet 1'!$H$3:$I$64,2,0)</f>
        <v>SB Trak Motive</v>
      </c>
      <c r="AC7">
        <f>IF('Raw File'!H42&gt;0,'Raw File'!H42," ")</f>
        <v>7188133</v>
      </c>
      <c r="AD7" s="12">
        <f>IF('Raw File'!C42&gt;0,IF(WhatColor('Raw File'!C42)&gt;10,8810,8018)," ")</f>
        <v>8018</v>
      </c>
      <c r="AE7" s="1">
        <f>IF('Raw File'!C42&gt;0,'Raw File'!A42," ")</f>
        <v>44798</v>
      </c>
      <c r="AF7" s="1">
        <f>IF('Raw File'!C42&gt;0,'Raw File'!A42," ")</f>
        <v>44798</v>
      </c>
      <c r="AG7" s="1">
        <f>IF('Raw File'!C42&gt;0,'Raw File'!A42," ")</f>
        <v>44798</v>
      </c>
      <c r="AH7" t="str">
        <f>IF('Raw File'!C42&gt;0,'Raw File'!C42, " ")</f>
        <v>615-82-3967</v>
      </c>
      <c r="AR7" t="str">
        <f>IF('Raw File'!G42&gt;0, IF('Raw File'!G42&lt;100, "H", "S"), " ")</f>
        <v>H</v>
      </c>
      <c r="AS7">
        <f>IF('Raw File'!G42&gt;0,'Raw File'!G42," ")</f>
        <v>18.5</v>
      </c>
      <c r="AU7">
        <f>IF('Raw File'!C42&gt;0,40," ")</f>
        <v>40</v>
      </c>
      <c r="AW7" t="str">
        <f>IF('Raw File'!N42= 0, " ", IF('Raw File'!N42="S", "SS", IF( 'Raw File'!N42= "M", "MJ", IF('Raw File'!N42= "H", "H"))))</f>
        <v>SS</v>
      </c>
      <c r="AX7" s="13"/>
      <c r="AY7" t="str">
        <f>LEFT('Raw File'!P42,1)</f>
        <v/>
      </c>
      <c r="AZ7" t="str">
        <f>LEFT('Raw File'!N42,1)</f>
        <v>S</v>
      </c>
      <c r="BA7">
        <f>IF('Raw File'!O42="exempt",99,IF('Raw File'!O42&gt;0,'Raw File'!O42/2000,IF('Raw File'!O42=0,'Raw File'!O42," ")))</f>
        <v>0</v>
      </c>
      <c r="BB7" t="str">
        <f>LEFT('Raw File'!P42,1)</f>
        <v/>
      </c>
      <c r="BK7" t="str">
        <f>IF('Raw File'!C42&gt;0,"1"," ")</f>
        <v>1</v>
      </c>
      <c r="BY7" t="str">
        <f>IF('Raw File'!C42&gt;0,"WEEKLY"," ")</f>
        <v>WEEKLY</v>
      </c>
      <c r="CB7" t="str">
        <f>IF('Raw File'!C42&gt;0, "N"," ")</f>
        <v>N</v>
      </c>
      <c r="CJ7" t="str">
        <f>IF('Raw File'!C42&gt;0, "W", " ")</f>
        <v>W</v>
      </c>
      <c r="DO7" s="1">
        <f>IF('Raw File'!C42&gt;0,'Raw File'!A42," ")</f>
        <v>44798</v>
      </c>
      <c r="GZ7">
        <f>IF('Raw File'!O42=" "," ",IF('Raw File'!O42&gt;100,'Raw File'!O42,IF('Raw File'!O42="exempt","99999",IF('Raw File'!O42&lt;100, 'Raw File'!O42*2000, " "))))</f>
        <v>0</v>
      </c>
      <c r="HR7" t="str">
        <f>IF('Raw File'!C42&gt;0,"1"," ")</f>
        <v>1</v>
      </c>
    </row>
    <row r="8" spans="1:226" x14ac:dyDescent="0.25">
      <c r="A8" t="str">
        <f>IF('Raw File'!E44&gt;0,'Raw File'!E44, " ")</f>
        <v>Norma</v>
      </c>
      <c r="B8" t="str">
        <f>IF('Raw File'!D44&gt;0,'Raw File'!D44," ")</f>
        <v>Avila Rendon</v>
      </c>
      <c r="C8" t="str">
        <f>IF('Raw File'!F44&gt;0,'Raw File'!F44, " ")</f>
        <v xml:space="preserve"> </v>
      </c>
      <c r="D8" s="1">
        <f>IF('Raw File'!R44&gt;0,'Raw File'!R44, " ")</f>
        <v>28612</v>
      </c>
      <c r="E8">
        <f>IF('Raw File'!C44&gt;0, 296, " ")</f>
        <v>296</v>
      </c>
      <c r="F8" s="11" t="str">
        <f>IF('Raw File'!C44&gt;0, "5", " ")</f>
        <v>5</v>
      </c>
      <c r="G8" t="str">
        <f>IF('Raw File'!C44&gt;0, "X", " ")</f>
        <v>X</v>
      </c>
      <c r="H8" t="str">
        <f>IF('Raw File'!N44="H", "S", LEFT('Raw File'!N44, 1))</f>
        <v>S</v>
      </c>
      <c r="J8" t="str">
        <f>IF('Raw File'!J44&gt;0,'Raw File'!J44," ")</f>
        <v>15332 Eleanor Ln</v>
      </c>
      <c r="L8">
        <f>IF('Raw File'!M44&gt;0,'Raw File'!M44," ")</f>
        <v>92551</v>
      </c>
      <c r="M8" t="str">
        <f>IF('Raw File'!K44&gt;0,'Raw File'!K44," ")</f>
        <v>Moreno Valley</v>
      </c>
      <c r="N8" t="str">
        <f>IF('Raw File'!L44&gt;0,'Raw File'!L44," ")</f>
        <v>CA</v>
      </c>
      <c r="U8" t="str">
        <f>IF('Raw File'!Q44&gt;0,'Raw File'!Q44," ")</f>
        <v>F</v>
      </c>
      <c r="W8" t="str">
        <f>VLOOKUP(Y8,[1]HRPYDBRUNPSG175243496hwdhtquhqw!$K$3:$K$12,1,0)</f>
        <v>602-19-2901</v>
      </c>
      <c r="Y8" s="34" t="str">
        <f>IF('Raw File'!C44&gt;0,'Raw File'!C44," ")</f>
        <v>602-19-2901</v>
      </c>
      <c r="Z8" t="str">
        <f>IF('Raw File'!C44&gt;0, "A", " ")</f>
        <v>A</v>
      </c>
      <c r="AA8" t="str">
        <f>IF('Raw File'!C44&gt;0, "F", " ")</f>
        <v>F</v>
      </c>
      <c r="AB8" t="str">
        <f>VLOOKUP(AC8,'[2]Sheet 1'!$H$3:$I$64,2,0)</f>
        <v>Meiko</v>
      </c>
      <c r="AC8">
        <f>IF('Raw File'!H44&gt;0,'Raw File'!H44," ")</f>
        <v>7188031</v>
      </c>
      <c r="AD8" s="12">
        <f>IF('Raw File'!C44&gt;0,IF(WhatColor('Raw File'!C44)&gt;10,8810,8018)," ")</f>
        <v>8018</v>
      </c>
      <c r="AE8" s="1">
        <f>IF('Raw File'!C44&gt;0,'Raw File'!A44," ")</f>
        <v>44796</v>
      </c>
      <c r="AF8" s="1">
        <f>IF('Raw File'!C44&gt;0,'Raw File'!A44," ")</f>
        <v>44796</v>
      </c>
      <c r="AG8" s="1">
        <f>IF('Raw File'!C44&gt;0,'Raw File'!A44," ")</f>
        <v>44796</v>
      </c>
      <c r="AH8" t="str">
        <f>IF('Raw File'!C44&gt;0,'Raw File'!C44, " ")</f>
        <v>602-19-2901</v>
      </c>
      <c r="AR8" t="str">
        <f>IF('Raw File'!G44&gt;0, IF('Raw File'!G44&lt;100, "H", "S"), " ")</f>
        <v>H</v>
      </c>
      <c r="AS8">
        <f>IF('Raw File'!G44&gt;0,'Raw File'!G44," ")</f>
        <v>15</v>
      </c>
      <c r="AU8">
        <f>IF('Raw File'!C44&gt;0,40," ")</f>
        <v>40</v>
      </c>
      <c r="AW8" t="str">
        <f>IF('Raw File'!N44= 0, " ", IF('Raw File'!N44="S", "SS", IF( 'Raw File'!N44= "M", "MJ", IF('Raw File'!N44= "H", "H"))))</f>
        <v>SS</v>
      </c>
      <c r="AX8" s="13"/>
      <c r="AY8" t="str">
        <f>LEFT('Raw File'!P44,1)</f>
        <v/>
      </c>
      <c r="AZ8" t="str">
        <f>LEFT('Raw File'!N44,1)</f>
        <v>S</v>
      </c>
      <c r="BA8">
        <f>IF('Raw File'!O44="exempt",99,IF('Raw File'!O44&gt;0,'Raw File'!O44/2000,IF('Raw File'!O44=0,'Raw File'!O44," ")))</f>
        <v>5</v>
      </c>
      <c r="BB8" t="str">
        <f>LEFT('Raw File'!P44,1)</f>
        <v/>
      </c>
      <c r="BK8" t="str">
        <f>IF('Raw File'!C44&gt;0,"1"," ")</f>
        <v>1</v>
      </c>
      <c r="BY8" t="str">
        <f>IF('Raw File'!C44&gt;0,"WEEKLY"," ")</f>
        <v>WEEKLY</v>
      </c>
      <c r="CB8" t="str">
        <f>IF('Raw File'!C44&gt;0, "N"," ")</f>
        <v>N</v>
      </c>
      <c r="CJ8" t="str">
        <f>IF('Raw File'!C44&gt;0, "W", " ")</f>
        <v>W</v>
      </c>
      <c r="DO8" s="1">
        <f>IF('Raw File'!C44&gt;0,'Raw File'!A44," ")</f>
        <v>44796</v>
      </c>
      <c r="GZ8">
        <f>IF('Raw File'!O44=" "," ",IF('Raw File'!O44&gt;100,'Raw File'!O44,IF('Raw File'!O44="exempt","99999",IF('Raw File'!O44&lt;100, 'Raw File'!O44*2000, " "))))</f>
        <v>10000</v>
      </c>
      <c r="HR8" t="str">
        <f>IF('Raw File'!C44&gt;0,"1"," ")</f>
        <v>1</v>
      </c>
    </row>
    <row r="9" spans="1:226" x14ac:dyDescent="0.25">
      <c r="A9" t="str">
        <f>IF('Raw File'!E45&gt;0,'Raw File'!E45, " ")</f>
        <v>Ana</v>
      </c>
      <c r="B9" t="str">
        <f>IF('Raw File'!D45&gt;0,'Raw File'!D45," ")</f>
        <v>Cruz</v>
      </c>
      <c r="C9" t="str">
        <f>IF('Raw File'!F45&gt;0,'Raw File'!F45, " ")</f>
        <v xml:space="preserve"> </v>
      </c>
      <c r="D9" s="1">
        <f>IF('Raw File'!R45&gt;0,'Raw File'!R45, " ")</f>
        <v>29428</v>
      </c>
      <c r="E9">
        <f>IF('Raw File'!C45&gt;0, 296, " ")</f>
        <v>296</v>
      </c>
      <c r="F9" s="11" t="str">
        <f>IF('Raw File'!C45&gt;0, "5", " ")</f>
        <v>5</v>
      </c>
      <c r="G9" t="str">
        <f>IF('Raw File'!C45&gt;0, "X", " ")</f>
        <v>X</v>
      </c>
      <c r="H9" t="str">
        <f>IF('Raw File'!N45="H", "S", LEFT('Raw File'!N45, 1))</f>
        <v>S</v>
      </c>
      <c r="J9" t="str">
        <f>IF('Raw File'!J45&gt;0,'Raw File'!J45," ")</f>
        <v>7774 Magnolia Ave  #27</v>
      </c>
      <c r="L9">
        <f>IF('Raw File'!M45&gt;0,'Raw File'!M45," ")</f>
        <v>92504</v>
      </c>
      <c r="M9" t="str">
        <f>IF('Raw File'!K45&gt;0,'Raw File'!K45," ")</f>
        <v>Riverside</v>
      </c>
      <c r="N9" t="str">
        <f>IF('Raw File'!L45&gt;0,'Raw File'!L45," ")</f>
        <v>CA</v>
      </c>
      <c r="U9" t="str">
        <f>IF('Raw File'!Q45&gt;0,'Raw File'!Q45," ")</f>
        <v>F</v>
      </c>
      <c r="W9" t="str">
        <f>VLOOKUP(Y9,[1]HRPYDBRUNPSG175243496hwdhtquhqw!$K$3:$K$12,1,0)</f>
        <v>625-64-6299</v>
      </c>
      <c r="Y9" t="str">
        <f>IF('Raw File'!C45&gt;0,'Raw File'!C45," ")</f>
        <v>625-64-6299</v>
      </c>
      <c r="Z9" t="str">
        <f>IF('Raw File'!C45&gt;0, "A", " ")</f>
        <v>A</v>
      </c>
      <c r="AA9" t="str">
        <f>IF('Raw File'!C45&gt;0, "F", " ")</f>
        <v>F</v>
      </c>
      <c r="AB9" t="str">
        <f>VLOOKUP(AC9,'[2]Sheet 1'!$H$3:$I$64,2,0)</f>
        <v>Meiko</v>
      </c>
      <c r="AC9">
        <f>IF('Raw File'!H45&gt;0,'Raw File'!H45," ")</f>
        <v>7188031</v>
      </c>
      <c r="AD9" s="12">
        <f>IF('Raw File'!C45&gt;0,IF(WhatColor('Raw File'!C45)&gt;10,8810,8018)," ")</f>
        <v>8018</v>
      </c>
      <c r="AE9" s="1">
        <f>IF('Raw File'!C45&gt;0,'Raw File'!A45," ")</f>
        <v>44796</v>
      </c>
      <c r="AF9" s="1">
        <f>IF('Raw File'!C45&gt;0,'Raw File'!A45," ")</f>
        <v>44796</v>
      </c>
      <c r="AG9" s="1">
        <f>IF('Raw File'!C45&gt;0,'Raw File'!A45," ")</f>
        <v>44796</v>
      </c>
      <c r="AH9" t="str">
        <f>IF('Raw File'!C45&gt;0,'Raw File'!C45, " ")</f>
        <v>625-64-6299</v>
      </c>
      <c r="AR9" t="str">
        <f>IF('Raw File'!G45&gt;0, IF('Raw File'!G45&lt;100, "H", "S"), " ")</f>
        <v>H</v>
      </c>
      <c r="AS9">
        <f>IF('Raw File'!G45&gt;0,'Raw File'!G45," ")</f>
        <v>15</v>
      </c>
      <c r="AU9">
        <f>IF('Raw File'!C45&gt;0,40," ")</f>
        <v>40</v>
      </c>
      <c r="AW9" t="str">
        <f>IF('Raw File'!N45= 0, " ", IF('Raw File'!N45="S", "SS", IF( 'Raw File'!N45= "M", "MJ", IF('Raw File'!N45= "H", "H"))))</f>
        <v>SS</v>
      </c>
      <c r="AX9" s="13"/>
      <c r="AY9" t="str">
        <f>LEFT('Raw File'!P45,1)</f>
        <v/>
      </c>
      <c r="AZ9" t="str">
        <f>LEFT('Raw File'!N45,1)</f>
        <v>S</v>
      </c>
      <c r="BA9">
        <f>IF('Raw File'!O45="exempt",99,IF('Raw File'!O45&gt;0,'Raw File'!O45/2000,IF('Raw File'!O45=0,'Raw File'!O45," ")))</f>
        <v>3</v>
      </c>
      <c r="BB9" t="str">
        <f>LEFT('Raw File'!P45,1)</f>
        <v/>
      </c>
      <c r="BK9" t="str">
        <f>IF('Raw File'!C45&gt;0,"1"," ")</f>
        <v>1</v>
      </c>
      <c r="BY9" t="str">
        <f>IF('Raw File'!C45&gt;0,"WEEKLY"," ")</f>
        <v>WEEKLY</v>
      </c>
      <c r="CB9" t="str">
        <f>IF('Raw File'!C45&gt;0, "N"," ")</f>
        <v>N</v>
      </c>
      <c r="CJ9" t="str">
        <f>IF('Raw File'!C45&gt;0, "W", " ")</f>
        <v>W</v>
      </c>
      <c r="DO9" s="1">
        <f>IF('Raw File'!C45&gt;0,'Raw File'!A45," ")</f>
        <v>44796</v>
      </c>
      <c r="GZ9">
        <f>IF('Raw File'!O45=" "," ",IF('Raw File'!O45&gt;100,'Raw File'!O45,IF('Raw File'!O45="exempt","99999",IF('Raw File'!O45&lt;100, 'Raw File'!O45*2000, " "))))</f>
        <v>6000</v>
      </c>
      <c r="HR9" t="str">
        <f>IF('Raw File'!C45&gt;0,"1"," ")</f>
        <v>1</v>
      </c>
    </row>
    <row r="10" spans="1:226" x14ac:dyDescent="0.25">
      <c r="A10" t="str">
        <f>IF('Raw File'!E47&gt;0,'Raw File'!E47, " ")</f>
        <v>Yamel</v>
      </c>
      <c r="B10" t="str">
        <f>IF('Raw File'!D47&gt;0,'Raw File'!D47," ")</f>
        <v>Chong Villa</v>
      </c>
      <c r="C10" t="str">
        <f>IF('Raw File'!F47&gt;0,'Raw File'!F47, " ")</f>
        <v xml:space="preserve"> </v>
      </c>
      <c r="D10" s="1">
        <f>IF('Raw File'!R47&gt;0,'Raw File'!R47, " ")</f>
        <v>34525</v>
      </c>
      <c r="E10">
        <f>IF('Raw File'!C47&gt;0, 296, " ")</f>
        <v>296</v>
      </c>
      <c r="F10" s="11" t="str">
        <f>IF('Raw File'!C47&gt;0, "5", " ")</f>
        <v>5</v>
      </c>
      <c r="G10" t="str">
        <f>IF('Raw File'!C47&gt;0, "X", " ")</f>
        <v>X</v>
      </c>
      <c r="H10" t="str">
        <f>IF('Raw File'!N47="H", "S", LEFT('Raw File'!N47, 1))</f>
        <v>S</v>
      </c>
      <c r="J10" t="str">
        <f>IF('Raw File'!J47&gt;0,'Raw File'!J47," ")</f>
        <v>3827 Sedgwick Ave</v>
      </c>
      <c r="L10">
        <f>IF('Raw File'!M47&gt;0,'Raw File'!M47," ")</f>
        <v>92507</v>
      </c>
      <c r="M10" t="str">
        <f>IF('Raw File'!K47&gt;0,'Raw File'!K47," ")</f>
        <v>Riverside</v>
      </c>
      <c r="N10" t="str">
        <f>IF('Raw File'!L47&gt;0,'Raw File'!L47," ")</f>
        <v>CA</v>
      </c>
      <c r="U10" t="str">
        <f>IF('Raw File'!Q47&gt;0,'Raw File'!Q47," ")</f>
        <v>F</v>
      </c>
      <c r="W10" t="str">
        <f>VLOOKUP(Y10,[1]HRPYDBRUNPSG175243496hwdhtquhqw!$K$3:$K$12,1,0)</f>
        <v>797-42-1934</v>
      </c>
      <c r="Y10" s="32" t="str">
        <f>IF('Raw File'!C47&gt;0,'Raw File'!C47," ")</f>
        <v>797-42-1934</v>
      </c>
      <c r="Z10" t="str">
        <f>IF('Raw File'!C47&gt;0, "A", " ")</f>
        <v>A</v>
      </c>
      <c r="AA10" t="str">
        <f>IF('Raw File'!C47&gt;0, "F", " ")</f>
        <v>F</v>
      </c>
      <c r="AB10" t="str">
        <f>VLOOKUP(AC10,'[2]Sheet 1'!$H$3:$I$64,2,0)</f>
        <v>SB Nogin</v>
      </c>
      <c r="AC10">
        <f>IF('Raw File'!H47&gt;0,'Raw File'!H47," ")</f>
        <v>7188131</v>
      </c>
      <c r="AD10" s="12">
        <f>IF('Raw File'!C47&gt;0,IF(WhatColor('Raw File'!C47)&gt;10,8810,8018)," ")</f>
        <v>8018</v>
      </c>
      <c r="AE10" s="1">
        <f>IF('Raw File'!C47&gt;0,'Raw File'!A47," ")</f>
        <v>43593</v>
      </c>
      <c r="AF10" s="1">
        <f>IF('Raw File'!C47&gt;0,'Raw File'!A47," ")</f>
        <v>43593</v>
      </c>
      <c r="AG10" s="1">
        <f>IF('Raw File'!C47&gt;0,'Raw File'!A47," ")</f>
        <v>43593</v>
      </c>
      <c r="AH10" t="str">
        <f>IF('Raw File'!C47&gt;0,'Raw File'!C47, " ")</f>
        <v>797-42-1934</v>
      </c>
      <c r="AR10" t="str">
        <f>IF('Raw File'!G47&gt;0, IF('Raw File'!G47&lt;100, "H", "S"), " ")</f>
        <v>H</v>
      </c>
      <c r="AS10">
        <f>IF('Raw File'!G47&gt;0,'Raw File'!G47," ")</f>
        <v>20</v>
      </c>
      <c r="AU10">
        <f>IF('Raw File'!C47&gt;0,40," ")</f>
        <v>40</v>
      </c>
      <c r="AW10" t="str">
        <f>IF('Raw File'!N47= 0, " ", IF('Raw File'!N47="S", "SS", IF( 'Raw File'!N47= "M", "MJ", IF('Raw File'!N47= "H", "H"))))</f>
        <v>SS</v>
      </c>
      <c r="AX10" s="13"/>
      <c r="AY10" t="str">
        <f>LEFT('Raw File'!P47,1)</f>
        <v/>
      </c>
      <c r="AZ10" t="str">
        <f>LEFT('Raw File'!N47,1)</f>
        <v>S</v>
      </c>
      <c r="BA10">
        <f>IF('Raw File'!O47="exempt",99,IF('Raw File'!O47&gt;0,'Raw File'!O47/2000,IF('Raw File'!O47=0,'Raw File'!O47," ")))</f>
        <v>0</v>
      </c>
      <c r="BB10" t="str">
        <f>LEFT('Raw File'!P47,1)</f>
        <v/>
      </c>
      <c r="BK10" t="str">
        <f>IF('Raw File'!C47&gt;0,"1"," ")</f>
        <v>1</v>
      </c>
      <c r="BY10" t="str">
        <f>IF('Raw File'!C47&gt;0,"WEEKLY"," ")</f>
        <v>WEEKLY</v>
      </c>
      <c r="CB10" t="str">
        <f>IF('Raw File'!C47&gt;0, "N"," ")</f>
        <v>N</v>
      </c>
      <c r="CJ10" t="str">
        <f>IF('Raw File'!C47&gt;0, "W", " ")</f>
        <v>W</v>
      </c>
      <c r="DO10" s="1">
        <f>IF('Raw File'!C47&gt;0,'Raw File'!A47," ")</f>
        <v>43593</v>
      </c>
      <c r="GZ10">
        <f>IF('Raw File'!O47=" "," ",IF('Raw File'!O47&gt;100,'Raw File'!O47,IF('Raw File'!O47="exempt","99999",IF('Raw File'!O47&lt;100, 'Raw File'!O47*2000, " "))))</f>
        <v>0</v>
      </c>
      <c r="HR10" t="str">
        <f>IF('Raw File'!C47&gt;0,"1"," ")</f>
        <v>1</v>
      </c>
    </row>
    <row r="11" spans="1:226" x14ac:dyDescent="0.25">
      <c r="A11" t="str">
        <f>IF('Raw File'!E57&gt;0,'Raw File'!E57, " ")</f>
        <v>Juan</v>
      </c>
      <c r="B11" t="str">
        <f>IF('Raw File'!D57&gt;0,'Raw File'!D57," ")</f>
        <v>Cervantes</v>
      </c>
      <c r="C11" t="str">
        <f>IF('Raw File'!F57&gt;0,'Raw File'!F57, " ")</f>
        <v xml:space="preserve"> </v>
      </c>
      <c r="D11" s="1">
        <f>IF('Raw File'!R57&gt;0,'Raw File'!R57, " ")</f>
        <v>35815</v>
      </c>
      <c r="E11">
        <f>IF('Raw File'!C57&gt;0, 296, " ")</f>
        <v>296</v>
      </c>
      <c r="F11" s="11" t="str">
        <f>IF('Raw File'!C57&gt;0, "5", " ")</f>
        <v>5</v>
      </c>
      <c r="G11" t="str">
        <f>IF('Raw File'!C57&gt;0, "X", " ")</f>
        <v>X</v>
      </c>
      <c r="H11" t="str">
        <f>IF('Raw File'!N57="H", "S", LEFT('Raw File'!N57, 1))</f>
        <v>S</v>
      </c>
      <c r="J11" t="str">
        <f>IF('Raw File'!J57&gt;0,'Raw File'!J57," ")</f>
        <v>385 Richey Circle  #209</v>
      </c>
      <c r="L11">
        <f>IF('Raw File'!M57&gt;0,'Raw File'!M57," ")</f>
        <v>92879</v>
      </c>
      <c r="M11" t="str">
        <f>IF('Raw File'!K57&gt;0,'Raw File'!K57," ")</f>
        <v>Corona</v>
      </c>
      <c r="N11" t="str">
        <f>IF('Raw File'!L57&gt;0,'Raw File'!L57," ")</f>
        <v>CA</v>
      </c>
      <c r="U11" t="str">
        <f>IF('Raw File'!Q57&gt;0,'Raw File'!Q57," ")</f>
        <v>M</v>
      </c>
      <c r="W11" t="str">
        <f>VLOOKUP(Y11,[1]HRPYDBRUNPSG175243496hwdhtquhqw!$K$3:$K$12,1,0)</f>
        <v>609-04-6070</v>
      </c>
      <c r="Y11" t="str">
        <f>IF('Raw File'!C57&gt;0,'Raw File'!C57," ")</f>
        <v>609-04-6070</v>
      </c>
      <c r="Z11" t="str">
        <f>IF('Raw File'!C57&gt;0, "A", " ")</f>
        <v>A</v>
      </c>
      <c r="AA11" t="str">
        <f>IF('Raw File'!C57&gt;0, "F", " ")</f>
        <v>F</v>
      </c>
      <c r="AB11" t="str">
        <f>VLOOKUP(AC11,'[2]Sheet 1'!$H$3:$I$64,2,0)</f>
        <v>Floor &amp; Décor</v>
      </c>
      <c r="AC11">
        <f>IF('Raw File'!H57&gt;0,'Raw File'!H57," ")</f>
        <v>7188083</v>
      </c>
      <c r="AD11" s="12">
        <f>IF('Raw File'!C57&gt;0,IF(WhatColor('Raw File'!C57)&gt;10,8810,8018)," ")</f>
        <v>8018</v>
      </c>
      <c r="AE11" s="1">
        <f>IF('Raw File'!C57&gt;0,'Raw File'!A57," ")</f>
        <v>44795</v>
      </c>
      <c r="AF11" s="1">
        <f>IF('Raw File'!C57&gt;0,'Raw File'!A57," ")</f>
        <v>44795</v>
      </c>
      <c r="AG11" s="1">
        <f>IF('Raw File'!C57&gt;0,'Raw File'!A57," ")</f>
        <v>44795</v>
      </c>
      <c r="AH11" t="str">
        <f>IF('Raw File'!C57&gt;0,'Raw File'!C57, " ")</f>
        <v>609-04-6070</v>
      </c>
      <c r="AR11" t="str">
        <f>IF('Raw File'!G57&gt;0, IF('Raw File'!G57&lt;100, "H", "S"), " ")</f>
        <v>H</v>
      </c>
      <c r="AS11">
        <f>IF('Raw File'!G57&gt;0,'Raw File'!G57," ")</f>
        <v>18</v>
      </c>
      <c r="AU11">
        <f>IF('Raw File'!C57&gt;0,40," ")</f>
        <v>40</v>
      </c>
      <c r="AW11" t="str">
        <f>IF('Raw File'!N57= 0, " ", IF('Raw File'!N57="S", "SS", IF( 'Raw File'!N57= "M", "MJ", IF('Raw File'!N57= "H", "H"))))</f>
        <v>SS</v>
      </c>
      <c r="AX11" s="13"/>
      <c r="AY11" t="str">
        <f>LEFT('Raw File'!P57,1)</f>
        <v/>
      </c>
      <c r="AZ11" t="str">
        <f>LEFT('Raw File'!N57,1)</f>
        <v>S</v>
      </c>
      <c r="BA11">
        <f>IF('Raw File'!O57="exempt",99,IF('Raw File'!O57&gt;0,'Raw File'!O57/2000,IF('Raw File'!O57=0,'Raw File'!O57," ")))</f>
        <v>0</v>
      </c>
      <c r="BB11" t="str">
        <f>LEFT('Raw File'!P57,1)</f>
        <v/>
      </c>
      <c r="BK11" t="str">
        <f>IF('Raw File'!C57&gt;0,"1"," ")</f>
        <v>1</v>
      </c>
      <c r="BY11" t="str">
        <f>IF('Raw File'!C57&gt;0,"WEEKLY"," ")</f>
        <v>WEEKLY</v>
      </c>
      <c r="CB11" t="str">
        <f>IF('Raw File'!C57&gt;0, "N"," ")</f>
        <v>N</v>
      </c>
      <c r="CJ11" t="str">
        <f>IF('Raw File'!C57&gt;0, "W", " ")</f>
        <v>W</v>
      </c>
      <c r="DO11" s="1">
        <f>IF('Raw File'!C57&gt;0,'Raw File'!A57," ")</f>
        <v>44795</v>
      </c>
      <c r="GZ11">
        <f>IF('Raw File'!O57=" "," ",IF('Raw File'!O57&gt;100,'Raw File'!O57,IF('Raw File'!O57="exempt","99999",IF('Raw File'!O57&lt;100, 'Raw File'!O57*2000, " "))))</f>
        <v>0</v>
      </c>
      <c r="HR11" t="str">
        <f>IF('Raw File'!C57&gt;0,"1"," ")</f>
        <v>1</v>
      </c>
    </row>
    <row r="12" spans="1:226" x14ac:dyDescent="0.25">
      <c r="AX1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File</vt:lpstr>
      <vt:lpstr>esinh8.29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Jugan</dc:creator>
  <cp:lastModifiedBy>Amber Lowe</cp:lastModifiedBy>
  <dcterms:created xsi:type="dcterms:W3CDTF">2019-11-19T21:57:04Z</dcterms:created>
  <dcterms:modified xsi:type="dcterms:W3CDTF">2022-09-09T20:01:53Z</dcterms:modified>
</cp:coreProperties>
</file>